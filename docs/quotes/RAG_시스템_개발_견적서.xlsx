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  <sheet name="WBS" sheetId="2" state="visible" r:id="rId4"/>
    <sheet name="인건비 산출" sheetId="3" state="visible" r:id="rId5"/>
    <sheet name="추진일정" sheetId="4" state="visible" r:id="rId6"/>
    <sheet name="옵션·조건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WenQuanYi Zen Hei"/>
            <family val="2"/>
          </rPr>
          <t xml:space="preserve">시장 단가 추정치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제경비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이윤 포함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실제 단가로 교체 가능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<sst xmlns="http://schemas.openxmlformats.org/spreadsheetml/2006/main" count="199" uniqueCount="160">
  <si>
    <t xml:space="preserve">견   적   서</t>
  </si>
  <si>
    <t xml:space="preserve">견적번호</t>
  </si>
  <si>
    <t xml:space="preserve">Q-ENG-AI-2026-RAG-01</t>
  </si>
  <si>
    <t xml:space="preserve">견적일자</t>
  </si>
  <si>
    <t xml:space="preserve">2026-10-21</t>
  </si>
  <si>
    <t xml:space="preserve">수    신</t>
  </si>
  <si>
    <r>
      <rPr>
        <sz val="10"/>
        <color rgb="FF000000"/>
        <rFont val="WenQuanYi Zen Hei"/>
        <family val="2"/>
      </rPr>
      <t xml:space="preserve">경영지원 </t>
    </r>
    <r>
      <rPr>
        <sz val="10"/>
        <color rgb="FF000000"/>
        <rFont val="Arial"/>
        <family val="0"/>
        <charset val="1"/>
      </rPr>
      <t xml:space="preserve">IT / </t>
    </r>
    <r>
      <rPr>
        <sz val="10"/>
        <color rgb="FF000000"/>
        <rFont val="WenQuanYi Zen Hei"/>
        <family val="2"/>
      </rPr>
      <t xml:space="preserve">사내 </t>
    </r>
    <r>
      <rPr>
        <sz val="10"/>
        <color rgb="FF000000"/>
        <rFont val="Arial"/>
        <family val="0"/>
        <charset val="1"/>
      </rPr>
      <t xml:space="preserve">AI TFT </t>
    </r>
    <r>
      <rPr>
        <sz val="10"/>
        <color rgb="FF000000"/>
        <rFont val="WenQuanYi Zen Hei"/>
        <family val="2"/>
      </rPr>
      <t xml:space="preserve">귀중</t>
    </r>
  </si>
  <si>
    <t xml:space="preserve">유효기간</t>
  </si>
  <si>
    <r>
      <rPr>
        <sz val="10"/>
        <color rgb="FF000000"/>
        <rFont val="WenQuanYi Zen Hei"/>
        <family val="2"/>
      </rPr>
      <t xml:space="preserve">견적일로부터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일</t>
    </r>
  </si>
  <si>
    <t xml:space="preserve">사 업 명</t>
  </si>
  <si>
    <r>
      <rPr>
        <sz val="10"/>
        <color rgb="FF000000"/>
        <rFont val="WenQuanYi Zen Hei"/>
        <family val="2"/>
      </rPr>
      <t xml:space="preserve">사내 엔지니어링 메타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구축 및 오픈소스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기반 온프레미스 </t>
    </r>
    <r>
      <rPr>
        <sz val="10"/>
        <color rgb="FF000000"/>
        <rFont val="Arial"/>
        <family val="0"/>
        <charset val="1"/>
      </rPr>
      <t xml:space="preserve">RAG </t>
    </r>
    <r>
      <rPr>
        <sz val="10"/>
        <color rgb="FF000000"/>
        <rFont val="WenQuanYi Zen Hei"/>
        <family val="2"/>
      </rPr>
      <t xml:space="preserve">시스템 개발 </t>
    </r>
    <r>
      <rPr>
        <sz val="10"/>
        <color rgb="FF000000"/>
        <rFont val="Arial"/>
        <family val="0"/>
        <charset val="1"/>
      </rPr>
      <t xml:space="preserve">(RFP-ENG-AI-2026-02)</t>
    </r>
  </si>
  <si>
    <t xml:space="preserve">견적범위</t>
  </si>
  <si>
    <r>
      <rPr>
        <sz val="10"/>
        <color rgb="FF000000"/>
        <rFont val="WenQuanYi Zen Hei"/>
        <family val="2"/>
      </rPr>
      <t xml:space="preserve">오픈소스 모델</t>
    </r>
    <r>
      <rPr>
        <sz val="10"/>
        <color rgb="FF000000"/>
        <rFont val="Arial"/>
        <family val="0"/>
        <charset val="1"/>
      </rPr>
      <t xml:space="preserve">(SLM/LLM) </t>
    </r>
    <r>
      <rPr>
        <sz val="10"/>
        <color rgb="FF000000"/>
        <rFont val="WenQuanYi Zen Hei"/>
        <family val="2"/>
      </rPr>
      <t xml:space="preserve">기반 하이브리드 </t>
    </r>
    <r>
      <rPr>
        <sz val="10"/>
        <color rgb="FF000000"/>
        <rFont val="Arial"/>
        <family val="0"/>
        <charset val="1"/>
      </rPr>
      <t xml:space="preserve">RAG </t>
    </r>
    <r>
      <rPr>
        <sz val="10"/>
        <color rgb="FF000000"/>
        <rFont val="WenQuanYi Zen Hei"/>
        <family val="2"/>
      </rPr>
      <t xml:space="preserve">시스템 개발 </t>
    </r>
    <r>
      <rPr>
        <sz val="10"/>
        <color rgb="FF000000"/>
        <rFont val="Arial"/>
        <family val="0"/>
        <charset val="1"/>
      </rPr>
      <t xml:space="preserve">(RFP 3.2</t>
    </r>
    <r>
      <rPr>
        <sz val="10"/>
        <color rgb="FF000000"/>
        <rFont val="WenQuanYi Zen Hei"/>
        <family val="2"/>
      </rPr>
      <t xml:space="preserve">절</t>
    </r>
    <r>
      <rPr>
        <sz val="10"/>
        <color rgb="FF000000"/>
        <rFont val="Arial"/>
        <family val="0"/>
        <charset val="1"/>
      </rPr>
      <t xml:space="preserve">, 4.4</t>
    </r>
    <r>
      <rPr>
        <sz val="10"/>
        <color rgb="FF000000"/>
        <rFont val="WenQuanYi Zen Hei"/>
        <family val="2"/>
      </rPr>
      <t xml:space="preserve">절 중 </t>
    </r>
    <r>
      <rPr>
        <sz val="10"/>
        <color rgb="FF000000"/>
        <rFont val="Arial"/>
        <family val="0"/>
        <charset val="1"/>
      </rPr>
      <t xml:space="preserve">RAG </t>
    </r>
    <r>
      <rPr>
        <sz val="10"/>
        <color rgb="FF000000"/>
        <rFont val="WenQuanYi Zen Hei"/>
        <family val="2"/>
      </rPr>
      <t xml:space="preserve">해당분</t>
    </r>
    <r>
      <rPr>
        <sz val="10"/>
        <color rgb="FF000000"/>
        <rFont val="Arial"/>
        <family val="0"/>
        <charset val="1"/>
      </rPr>
      <t xml:space="preserve">, M6 </t>
    </r>
    <r>
      <rPr>
        <sz val="10"/>
        <color rgb="FF000000"/>
        <rFont val="WenQuanYi Zen Hei"/>
        <family val="2"/>
      </rPr>
      <t xml:space="preserve">통합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교육</t>
    </r>
    <r>
      <rPr>
        <sz val="10"/>
        <color rgb="FF000000"/>
        <rFont val="Arial"/>
        <family val="0"/>
        <charset val="1"/>
      </rPr>
      <t xml:space="preserve">)</t>
    </r>
  </si>
  <si>
    <t xml:space="preserve">개발기간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</si>
  <si>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착수일 기준</t>
    </r>
    <r>
      <rPr>
        <sz val="10"/>
        <color rgb="FF000000"/>
        <rFont val="Arial"/>
        <family val="0"/>
        <charset val="1"/>
      </rPr>
      <t xml:space="preserve">)</t>
    </r>
  </si>
  <si>
    <t xml:space="preserve">투입공수</t>
  </si>
  <si>
    <r>
      <rPr>
        <b val="true"/>
        <sz val="12"/>
        <color rgb="FFFFFFFF"/>
        <rFont val="WenQuanYi Zen Hei"/>
        <family val="2"/>
      </rPr>
      <t xml:space="preserve">견적금액 </t>
    </r>
    <r>
      <rPr>
        <b val="true"/>
        <sz val="12"/>
        <color rgb="FFFFFFFF"/>
        <rFont val="Arial"/>
        <family val="0"/>
        <charset val="1"/>
      </rPr>
      <t xml:space="preserve">(VAT </t>
    </r>
    <r>
      <rPr>
        <b val="true"/>
        <sz val="12"/>
        <color rgb="FFFFFFFF"/>
        <rFont val="WenQuanYi Zen Hei"/>
        <family val="2"/>
      </rPr>
      <t xml:space="preserve">별도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</si>
  <si>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No</t>
  </si>
  <si>
    <t xml:space="preserve">구분</t>
  </si>
  <si>
    <t xml:space="preserve">내역</t>
  </si>
  <si>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</si>
  <si>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</si>
  <si>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인건비</t>
  </si>
  <si>
    <t xml:space="preserve">경비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</si>
  <si>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임차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상주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출장비</t>
    </r>
  </si>
  <si>
    <t xml:space="preserve">조정</t>
  </si>
  <si>
    <r>
      <rPr>
        <sz val="10"/>
        <color rgb="FF000000"/>
        <rFont val="WenQuanYi Zen Hei"/>
        <family val="2"/>
      </rPr>
      <t xml:space="preserve">사업 조정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협상 할인</t>
    </r>
    <r>
      <rPr>
        <sz val="10"/>
        <color rgb="FF000000"/>
        <rFont val="Arial"/>
        <family val="0"/>
        <charset val="1"/>
      </rPr>
      <t xml:space="preserve">)</t>
    </r>
  </si>
  <si>
    <t xml:space="preserve">공급가액</t>
  </si>
  <si>
    <r>
      <rPr>
        <sz val="10"/>
        <color rgb="FF000000"/>
        <rFont val="Arial"/>
        <family val="0"/>
        <charset val="1"/>
      </rPr>
      <t xml:space="preserve">VAT </t>
    </r>
    <r>
      <rPr>
        <sz val="10"/>
        <color rgb="FF000000"/>
        <rFont val="WenQuanYi Zen Hei"/>
        <family val="2"/>
      </rPr>
      <t xml:space="preserve">별도</t>
    </r>
  </si>
  <si>
    <t xml:space="preserve">부가세</t>
  </si>
  <si>
    <t xml:space="preserve">VAT 10%</t>
  </si>
  <si>
    <t xml:space="preserve">합계</t>
  </si>
  <si>
    <r>
      <rPr>
        <sz val="10"/>
        <color rgb="FF000000"/>
        <rFont val="Arial"/>
        <family val="0"/>
        <charset val="1"/>
      </rPr>
      <t xml:space="preserve">VAT </t>
    </r>
    <r>
      <rPr>
        <sz val="10"/>
        <color rgb="FF000000"/>
        <rFont val="WenQuanYi Zen Hei"/>
        <family val="2"/>
      </rPr>
      <t xml:space="preserve">포함</t>
    </r>
  </si>
  <si>
    <t xml:space="preserve">※ 특기사항</t>
  </si>
  <si>
    <r>
      <rPr>
        <sz val="9"/>
        <color rgb="FF000000"/>
        <rFont val="Arial"/>
        <family val="0"/>
        <charset val="1"/>
      </rPr>
      <t xml:space="preserve">1. </t>
    </r>
    <r>
      <rPr>
        <sz val="9"/>
        <color rgb="FF000000"/>
        <rFont val="WenQuanYi Zen Hei"/>
        <family val="2"/>
      </rPr>
      <t xml:space="preserve">오픈소스 </t>
    </r>
    <r>
      <rPr>
        <sz val="9"/>
        <color rgb="FF000000"/>
        <rFont val="Arial"/>
        <family val="0"/>
        <charset val="1"/>
      </rPr>
      <t xml:space="preserve">SW(vLLM, Milvus, bge-m3, Qwen/Llama </t>
    </r>
    <r>
      <rPr>
        <sz val="9"/>
        <color rgb="FF000000"/>
        <rFont val="WenQuanYi Zen Hei"/>
        <family val="2"/>
      </rPr>
      <t xml:space="preserve">계열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는 상용 사용 가능 라이선스로 라이선스 비용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</si>
  <si>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2. GPU </t>
    </r>
    <r>
      <rPr>
        <sz val="9"/>
        <color rgb="FF000000"/>
        <rFont val="WenQuanYi Zen Hei"/>
        <family val="2"/>
      </rPr>
      <t xml:space="preserve">서버</t>
    </r>
    <r>
      <rPr>
        <sz val="9"/>
        <color rgb="FF000000"/>
        <rFont val="Arial"/>
        <family val="0"/>
        <charset val="1"/>
      </rPr>
      <t xml:space="preserve">·OS·MSSQL </t>
    </r>
    <r>
      <rPr>
        <sz val="9"/>
        <color rgb="FF000000"/>
        <rFont val="WenQuanYi Zen Hei"/>
        <family val="2"/>
      </rPr>
      <t xml:space="preserve">라이선스 등 하드웨어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인프라는 발주사 별도 조달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견적 제외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</si>
  <si>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3. </t>
    </r>
    <r>
      <rPr>
        <sz val="9"/>
        <color rgb="FF000000"/>
        <rFont val="WenQuanYi Zen Hei"/>
        <family val="2"/>
      </rPr>
      <t xml:space="preserve">파서 개발</t>
    </r>
    <r>
      <rPr>
        <sz val="9"/>
        <color rgb="FF000000"/>
        <rFont val="Arial"/>
        <family val="0"/>
        <charset val="1"/>
      </rPr>
      <t xml:space="preserve">, MSSQL </t>
    </r>
    <r>
      <rPr>
        <sz val="9"/>
        <color rgb="FF000000"/>
        <rFont val="WenQuanYi Zen Hei"/>
        <family val="2"/>
      </rPr>
      <t xml:space="preserve">메타 </t>
    </r>
    <r>
      <rPr>
        <sz val="9"/>
        <color rgb="FF000000"/>
        <rFont val="Arial"/>
        <family val="0"/>
        <charset val="1"/>
      </rPr>
      <t xml:space="preserve">DB </t>
    </r>
    <r>
      <rPr>
        <sz val="9"/>
        <color rgb="FF000000"/>
        <rFont val="WenQuanYi Zen Hei"/>
        <family val="2"/>
      </rPr>
      <t xml:space="preserve">스키마 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적재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교차검증 엔진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파싱 예외처리 </t>
    </r>
    <r>
      <rPr>
        <sz val="9"/>
        <color rgb="FF000000"/>
        <rFont val="Arial"/>
        <family val="0"/>
        <charset val="1"/>
      </rPr>
      <t xml:space="preserve">UI</t>
    </r>
    <r>
      <rPr>
        <sz val="9"/>
        <color rgb="FF000000"/>
        <rFont val="WenQuanYi Zen Hei"/>
        <family val="2"/>
      </rPr>
      <t xml:space="preserve">는 견적 범위에서 제외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</si>
  <si>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4. </t>
    </r>
    <r>
      <rPr>
        <sz val="9"/>
        <color rgb="FF000000"/>
        <rFont val="WenQuanYi Zen Hei"/>
        <family val="2"/>
      </rPr>
      <t xml:space="preserve">무상 하자보수 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WenQuanYi Zen Hei"/>
        <family val="2"/>
      </rPr>
      <t xml:space="preserve">개월 포함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WenQuanYi Zen Hei"/>
        <family val="2"/>
      </rPr>
      <t xml:space="preserve">옵션 항목 및 전제조건은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WenQuanYi Zen Hei"/>
        <family val="2"/>
      </rPr>
      <t xml:space="preserve">옵션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조건</t>
    </r>
    <r>
      <rPr>
        <sz val="9"/>
        <color rgb="FF000000"/>
        <rFont val="Arial"/>
        <family val="0"/>
        <charset val="1"/>
      </rPr>
      <t xml:space="preserve">' </t>
    </r>
    <r>
      <rPr>
        <sz val="9"/>
        <color rgb="FF000000"/>
        <rFont val="WenQuanYi Zen Hei"/>
        <family val="2"/>
      </rPr>
      <t xml:space="preserve">시트 참조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</si>
  <si>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5. </t>
    </r>
    <r>
      <rPr>
        <sz val="9"/>
        <color rgb="FF000000"/>
        <rFont val="WenQuanYi Zen Hei"/>
        <family val="2"/>
      </rPr>
      <t xml:space="preserve">대금 지급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선금 </t>
    </r>
    <r>
      <rPr>
        <sz val="9"/>
        <color rgb="FF000000"/>
        <rFont val="Arial"/>
        <family val="0"/>
        <charset val="1"/>
      </rPr>
      <t xml:space="preserve">30% / </t>
    </r>
    <r>
      <rPr>
        <sz val="9"/>
        <color rgb="FF000000"/>
        <rFont val="WenQuanYi Zen Hei"/>
        <family val="2"/>
      </rPr>
      <t xml:space="preserve">중도금 </t>
    </r>
    <r>
      <rPr>
        <sz val="9"/>
        <color rgb="FF000000"/>
        <rFont val="Arial"/>
        <family val="0"/>
        <charset val="1"/>
      </rPr>
      <t xml:space="preserve">30% (M2 </t>
    </r>
    <r>
      <rPr>
        <sz val="9"/>
        <color rgb="FF000000"/>
        <rFont val="WenQuanYi Zen Hei"/>
        <family val="2"/>
      </rPr>
      <t xml:space="preserve">검수 후</t>
    </r>
    <r>
      <rPr>
        <sz val="9"/>
        <color rgb="FF000000"/>
        <rFont val="Arial"/>
        <family val="0"/>
        <charset val="1"/>
      </rPr>
      <t xml:space="preserve">) / </t>
    </r>
    <r>
      <rPr>
        <sz val="9"/>
        <color rgb="FF000000"/>
        <rFont val="WenQuanYi Zen Hei"/>
        <family val="2"/>
      </rPr>
      <t xml:space="preserve">잔금 </t>
    </r>
    <r>
      <rPr>
        <sz val="9"/>
        <color rgb="FF000000"/>
        <rFont val="Arial"/>
        <family val="0"/>
        <charset val="1"/>
      </rPr>
      <t xml:space="preserve">40% (</t>
    </r>
    <r>
      <rPr>
        <sz val="9"/>
        <color rgb="FF000000"/>
        <rFont val="WenQuanYi Zen Hei"/>
        <family val="2"/>
      </rPr>
      <t xml:space="preserve">최종 검수 후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</si>
  <si>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6. </t>
    </r>
    <r>
      <rPr>
        <sz val="9"/>
        <color rgb="FF000000"/>
        <rFont val="WenQuanYi Zen Hei"/>
        <family val="2"/>
      </rPr>
      <t xml:space="preserve">단가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공수는 시장 수준 추정치이며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비정형 문서 규모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동시 사용자 수 확인 후 확정 견적 제출 예정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</si>
  <si>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000000"/>
        <rFont val="WenQuanYi Zen Hei"/>
        <family val="2"/>
      </rPr>
      <t xml:space="preserve">공급자</t>
    </r>
    <r>
      <rPr>
        <b val="true"/>
        <sz val="10"/>
        <color rgb="FF000000"/>
        <rFont val="Arial"/>
        <family val="0"/>
        <charset val="1"/>
      </rPr>
      <t xml:space="preserve">:                         (</t>
    </r>
    <r>
      <rPr>
        <b val="true"/>
        <sz val="10"/>
        <color rgb="FF000000"/>
        <rFont val="WenQuanYi Zen Hei"/>
        <family val="2"/>
      </rPr>
      <t xml:space="preserve">인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</si>
  <si>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color rgb="FF000000"/>
        <rFont val="WenQuanYi Zen Hei"/>
        <family val="2"/>
      </rPr>
      <t xml:space="preserve">작업분해구조</t>
    </r>
    <r>
      <rPr>
        <b val="true"/>
        <sz val="14"/>
        <color rgb="FF000000"/>
        <rFont val="Arial"/>
        <family val="0"/>
        <charset val="1"/>
      </rPr>
      <t xml:space="preserve">(WBS) </t>
    </r>
    <r>
      <rPr>
        <b val="true"/>
        <sz val="14"/>
        <color rgb="FF000000"/>
        <rFont val="WenQuanYi Zen Hei"/>
        <family val="2"/>
      </rPr>
      <t xml:space="preserve">및 등급별 투입 공수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단위</t>
    </r>
    <r>
      <rPr>
        <b val="true"/>
        <sz val="14"/>
        <color rgb="FF000000"/>
        <rFont val="Arial"/>
        <family val="0"/>
        <charset val="1"/>
      </rPr>
      <t xml:space="preserve">: M/M)</t>
    </r>
  </si>
  <si>
    <r>
      <rPr>
        <sz val="9"/>
        <color rgb="FF595959"/>
        <rFont val="WenQuanYi Zen Hei"/>
        <family val="2"/>
      </rPr>
      <t xml:space="preserve">※ 파란 글씨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입력값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공수 배분</t>
    </r>
    <r>
      <rPr>
        <sz val="9"/>
        <color rgb="FF595959"/>
        <rFont val="Arial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합계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등급별 소계는 수식으로 계산되어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인건비</t>
    </r>
    <r>
      <rPr>
        <sz val="9"/>
        <color rgb="FF595959"/>
        <rFont val="Arial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시트로 연결됩니다</t>
    </r>
    <r>
      <rPr>
        <sz val="9"/>
        <color rgb="FF595959"/>
        <rFont val="Arial"/>
        <family val="0"/>
        <charset val="1"/>
      </rPr>
      <t xml:space="preserve">.</t>
    </r>
  </si>
  <si>
    <t xml:space="preserve">작업</t>
  </si>
  <si>
    <t xml:space="preserve">주요 내용</t>
  </si>
  <si>
    <t xml:space="preserve">특급</t>
  </si>
  <si>
    <t xml:space="preserve">고급</t>
  </si>
  <si>
    <t xml:space="preserve">중급</t>
  </si>
  <si>
    <t xml:space="preserve">초급</t>
  </si>
  <si>
    <r>
      <rPr>
        <b val="true"/>
        <sz val="10"/>
        <color rgb="FF000000"/>
        <rFont val="WenQuanYi Zen Hei"/>
        <family val="2"/>
      </rPr>
      <t xml:space="preserve">착수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설계</t>
    </r>
  </si>
  <si>
    <r>
      <rPr>
        <sz val="10"/>
        <color rgb="FF000000"/>
        <rFont val="WenQuanYi Zen Hei"/>
        <family val="2"/>
      </rPr>
      <t xml:space="preserve">요구사항 정의</t>
    </r>
    <r>
      <rPr>
        <sz val="10"/>
        <color rgb="FF000000"/>
        <rFont val="Arial"/>
        <family val="0"/>
        <charset val="1"/>
      </rPr>
      <t xml:space="preserve">, RAG </t>
    </r>
    <r>
      <rPr>
        <sz val="10"/>
        <color rgb="FF000000"/>
        <rFont val="WenQuanYi Zen Hei"/>
        <family val="2"/>
      </rPr>
      <t xml:space="preserve">아키텍처</t>
    </r>
    <r>
      <rPr>
        <sz val="10"/>
        <color rgb="FF000000"/>
        <rFont val="Arial"/>
        <family val="0"/>
        <charset val="1"/>
      </rPr>
      <t xml:space="preserve">, GPU </t>
    </r>
    <r>
      <rPr>
        <sz val="10"/>
        <color rgb="FF000000"/>
        <rFont val="WenQuanYi Zen Hei"/>
        <family val="2"/>
      </rPr>
      <t xml:space="preserve">분할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파티셔닝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설계</t>
    </r>
    <r>
      <rPr>
        <sz val="10"/>
        <color rgb="FF000000"/>
        <rFont val="Arial"/>
        <family val="0"/>
        <charset val="1"/>
      </rPr>
      <t xml:space="preserve">, Golden Set </t>
    </r>
    <r>
      <rPr>
        <sz val="10"/>
        <color rgb="FF000000"/>
        <rFont val="WenQuanYi Zen Hei"/>
        <family val="2"/>
      </rPr>
      <t xml:space="preserve">설계 지원</t>
    </r>
  </si>
  <si>
    <t xml:space="preserve">모델 서빙 인프라</t>
  </si>
  <si>
    <r>
      <rPr>
        <sz val="10"/>
        <color rgb="FF000000"/>
        <rFont val="WenQuanYi Zen Hei"/>
        <family val="2"/>
      </rPr>
      <t xml:space="preserve">폐쇄망 모델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패키지 반입</t>
    </r>
    <r>
      <rPr>
        <sz val="10"/>
        <color rgb="FF000000"/>
        <rFont val="Arial"/>
        <family val="0"/>
        <charset val="1"/>
      </rPr>
      <t xml:space="preserve">, vLLM </t>
    </r>
    <r>
      <rPr>
        <sz val="10"/>
        <color rgb="FF000000"/>
        <rFont val="WenQuanYi Zen Hei"/>
        <family val="2"/>
      </rPr>
      <t xml:space="preserve">구축</t>
    </r>
    <r>
      <rPr>
        <sz val="10"/>
        <color rgb="FF000000"/>
        <rFont val="Arial"/>
        <family val="0"/>
        <charset val="1"/>
      </rPr>
      <t xml:space="preserve">, AWQ </t>
    </r>
    <r>
      <rPr>
        <sz val="10"/>
        <color rgb="FF000000"/>
        <rFont val="WenQuanYi Zen Hei"/>
        <family val="2"/>
      </rPr>
      <t xml:space="preserve">양자화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모델 벤치마크</t>
    </r>
    <r>
      <rPr>
        <sz val="10"/>
        <color rgb="FF000000"/>
        <rFont val="Arial"/>
        <family val="0"/>
        <charset val="1"/>
      </rPr>
      <t xml:space="preserve">, API </t>
    </r>
    <r>
      <rPr>
        <sz val="10"/>
        <color rgb="FF000000"/>
        <rFont val="WenQuanYi Zen Hei"/>
        <family val="2"/>
      </rPr>
      <t xml:space="preserve">게이트웨이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모니터링</t>
    </r>
  </si>
  <si>
    <r>
      <rPr>
        <b val="true"/>
        <sz val="10"/>
        <color rgb="FF000000"/>
        <rFont val="WenQuanYi Zen Hei"/>
        <family val="2"/>
      </rPr>
      <t xml:space="preserve">비정형 </t>
    </r>
    <r>
      <rPr>
        <b val="true"/>
        <sz val="10"/>
        <color rgb="FF000000"/>
        <rFont val="Arial"/>
        <family val="0"/>
        <charset val="1"/>
      </rPr>
      <t xml:space="preserve">RAG</t>
    </r>
  </si>
  <si>
    <r>
      <rPr>
        <sz val="10"/>
        <color rgb="FF000000"/>
        <rFont val="WenQuanYi Zen Hei"/>
        <family val="2"/>
      </rPr>
      <t xml:space="preserve">문서 수집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청킹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임베딩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리랭커</t>
    </r>
    <r>
      <rPr>
        <sz val="10"/>
        <color rgb="FF000000"/>
        <rFont val="Arial"/>
        <family val="0"/>
        <charset val="1"/>
      </rPr>
      <t xml:space="preserve">, Milvus </t>
    </r>
    <r>
      <rPr>
        <sz val="10"/>
        <color rgb="FF000000"/>
        <rFont val="WenQuanYi Zen Hei"/>
        <family val="2"/>
      </rPr>
      <t xml:space="preserve">구축</t>
    </r>
    <r>
      <rPr>
        <sz val="10"/>
        <color rgb="FF000000"/>
        <rFont val="Arial"/>
        <family val="0"/>
        <charset val="1"/>
      </rPr>
      <t xml:space="preserve">, BM25+</t>
    </r>
    <r>
      <rPr>
        <sz val="10"/>
        <color rgb="FF000000"/>
        <rFont val="WenQuanYi Zen Hei"/>
        <family val="2"/>
      </rPr>
      <t xml:space="preserve">벡터 하이브리드 검색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권한 필터</t>
    </r>
  </si>
  <si>
    <t xml:space="preserve">Text-to-SQL</t>
  </si>
  <si>
    <r>
      <rPr>
        <sz val="10"/>
        <color rgb="FF000000"/>
        <rFont val="WenQuanYi Zen Hei"/>
        <family val="2"/>
      </rPr>
      <t xml:space="preserve">질의용 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용어 사전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예시 기반 프롬프트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읽기 전용 </t>
    </r>
    <r>
      <rPr>
        <sz val="10"/>
        <color rgb="FF000000"/>
        <rFont val="Arial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단위 정규화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정확도 평가</t>
    </r>
  </si>
  <si>
    <t xml:space="preserve">질의 처리 흐름</t>
  </si>
  <si>
    <r>
      <rPr>
        <sz val="10"/>
        <color rgb="FF000000"/>
        <rFont val="Arial"/>
        <family val="0"/>
        <charset val="1"/>
      </rPr>
      <t xml:space="preserve">SQL·</t>
    </r>
    <r>
      <rPr>
        <sz val="10"/>
        <color rgb="FF000000"/>
        <rFont val="WenQuanYi Zen Hei"/>
        <family val="2"/>
      </rPr>
      <t xml:space="preserve">문서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복합 질의 라우터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결과 통합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답변 생성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근거 인용</t>
    </r>
  </si>
  <si>
    <t xml:space="preserve">가드레일</t>
  </si>
  <si>
    <r>
      <rPr>
        <sz val="10"/>
        <color rgb="FF000000"/>
        <rFont val="WenQuanYi Zen Hei"/>
        <family val="2"/>
      </rPr>
      <t xml:space="preserve">답변 수치와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값 대조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불일치 시 차단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경고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프롬프트 인젝션 방어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자동 평가</t>
    </r>
  </si>
  <si>
    <t xml:space="preserve">웹 포털</t>
  </si>
  <si>
    <r>
      <rPr>
        <sz val="10"/>
        <color rgb="FF000000"/>
        <rFont val="WenQuanYi Zen Hei"/>
        <family val="2"/>
      </rPr>
      <t xml:space="preserve">채팅 </t>
    </r>
    <r>
      <rPr>
        <sz val="10"/>
        <color rgb="FF000000"/>
        <rFont val="Arial"/>
        <family val="0"/>
        <charset val="1"/>
      </rPr>
      <t xml:space="preserve">UI, </t>
    </r>
    <r>
      <rPr>
        <sz val="10"/>
        <color rgb="FF000000"/>
        <rFont val="WenQuanYi Zen Hei"/>
        <family val="2"/>
      </rPr>
      <t xml:space="preserve">근거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원본 링크 표시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피드백 수집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관리자 대시보드</t>
    </r>
  </si>
  <si>
    <t xml:space="preserve">보안</t>
  </si>
  <si>
    <r>
      <rPr>
        <sz val="10"/>
        <color rgb="FF000000"/>
        <rFont val="Arial"/>
        <family val="0"/>
        <charset val="1"/>
      </rPr>
      <t xml:space="preserve">AD/LDAP·SSO </t>
    </r>
    <r>
      <rPr>
        <sz val="10"/>
        <color rgb="FF000000"/>
        <rFont val="WenQuanYi Zen Hei"/>
        <family val="2"/>
      </rPr>
      <t xml:space="preserve">연동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프로젝트별 </t>
    </r>
    <r>
      <rPr>
        <sz val="10"/>
        <color rgb="FF000000"/>
        <rFont val="Arial"/>
        <family val="0"/>
        <charset val="1"/>
      </rPr>
      <t xml:space="preserve">RBAC, </t>
    </r>
    <r>
      <rPr>
        <sz val="10"/>
        <color rgb="FF000000"/>
        <rFont val="WenQuanYi Zen Hei"/>
        <family val="2"/>
      </rPr>
      <t xml:space="preserve">질의 감사 로그</t>
    </r>
  </si>
  <si>
    <r>
      <rPr>
        <b val="true"/>
        <sz val="10"/>
        <color rgb="FF000000"/>
        <rFont val="WenQuanYi Zen Hei"/>
        <family val="2"/>
      </rPr>
      <t xml:space="preserve">통합 시험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튜닝</t>
    </r>
  </si>
  <si>
    <r>
      <rPr>
        <sz val="10"/>
        <color rgb="FF000000"/>
        <rFont val="Arial"/>
        <family val="0"/>
        <charset val="1"/>
      </rPr>
      <t xml:space="preserve">Golden Set </t>
    </r>
    <r>
      <rPr>
        <sz val="10"/>
        <color rgb="FF000000"/>
        <rFont val="WenQuanYi Zen Hei"/>
        <family val="2"/>
      </rPr>
      <t xml:space="preserve">검수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부하 시험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가드레일 보완</t>
    </r>
  </si>
  <si>
    <r>
      <rPr>
        <b val="true"/>
        <sz val="10"/>
        <color rgb="FF000000"/>
        <rFont val="WenQuanYi Zen Hei"/>
        <family val="2"/>
      </rPr>
      <t xml:space="preserve">교육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기술 이전</t>
    </r>
  </si>
  <si>
    <r>
      <rPr>
        <sz val="10"/>
        <color rgb="FF000000"/>
        <rFont val="WenQuanYi Zen Hei"/>
        <family val="2"/>
      </rPr>
      <t xml:space="preserve">사용자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운영자 매뉴얼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관리자 교육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소스 이관</t>
    </r>
  </si>
  <si>
    <r>
      <rPr>
        <b val="true"/>
        <sz val="10"/>
        <color rgb="FF000000"/>
        <rFont val="WenQuanYi Zen Hei"/>
        <family val="2"/>
      </rPr>
      <t xml:space="preserve">사업 관리</t>
    </r>
    <r>
      <rPr>
        <b val="true"/>
        <sz val="10"/>
        <color rgb="FF000000"/>
        <rFont val="Arial"/>
        <family val="0"/>
        <charset val="1"/>
      </rPr>
      <t xml:space="preserve">(PM)</t>
    </r>
  </si>
  <si>
    <r>
      <rPr>
        <sz val="10"/>
        <color rgb="FF000000"/>
        <rFont val="WenQuanYi Zen Hei"/>
        <family val="2"/>
      </rPr>
      <t xml:space="preserve">일정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품질 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주간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월간 보고</t>
    </r>
  </si>
  <si>
    <r>
      <rPr>
        <b val="true"/>
        <sz val="14"/>
        <color rgb="FF000000"/>
        <rFont val="WenQuanYi Zen Hei"/>
        <family val="2"/>
      </rPr>
      <t xml:space="preserve">투입 인력 및 인건비 산출 </t>
    </r>
    <r>
      <rPr>
        <b val="true"/>
        <sz val="14"/>
        <color rgb="FF000000"/>
        <rFont val="Arial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단위</t>
    </r>
    <r>
      <rPr>
        <b val="true"/>
        <sz val="14"/>
        <color rgb="FF000000"/>
        <rFont val="Arial"/>
        <family val="0"/>
        <charset val="1"/>
      </rPr>
      <t xml:space="preserve">: </t>
    </r>
    <r>
      <rPr>
        <b val="true"/>
        <sz val="14"/>
        <color rgb="FF000000"/>
        <rFont val="WenQuanYi Zen Hei"/>
        <family val="2"/>
      </rPr>
      <t xml:space="preserve">원</t>
    </r>
    <r>
      <rPr>
        <b val="true"/>
        <sz val="14"/>
        <color rgb="FF000000"/>
        <rFont val="Arial"/>
        <family val="0"/>
        <charset val="1"/>
      </rPr>
      <t xml:space="preserve">, VAT </t>
    </r>
    <r>
      <rPr>
        <b val="true"/>
        <sz val="14"/>
        <color rgb="FF000000"/>
        <rFont val="WenQuanYi Zen Hei"/>
        <family val="2"/>
      </rPr>
      <t xml:space="preserve">별도</t>
    </r>
    <r>
      <rPr>
        <b val="true"/>
        <sz val="14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</si>
  <si>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※ M/M</t>
    </r>
    <r>
      <rPr>
        <sz val="9"/>
        <color rgb="FF595959"/>
        <rFont val="WenQuanYi Zen Hei"/>
        <family val="2"/>
      </rPr>
      <t xml:space="preserve">은 </t>
    </r>
    <r>
      <rPr>
        <sz val="9"/>
        <color rgb="FF595959"/>
        <rFont val="Arial"/>
        <family val="0"/>
        <charset val="1"/>
      </rPr>
      <t xml:space="preserve">WBS </t>
    </r>
    <r>
      <rPr>
        <sz val="9"/>
        <color rgb="FF595959"/>
        <rFont val="WenQuanYi Zen Hei"/>
        <family val="2"/>
      </rPr>
      <t xml:space="preserve">시트에서 연결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초록 글씨</t>
    </r>
    <r>
      <rPr>
        <sz val="9"/>
        <color rgb="FF595959"/>
        <rFont val="Arial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월 단가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파란 글씨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는 민간 </t>
    </r>
    <r>
      <rPr>
        <sz val="9"/>
        <color rgb="FF595959"/>
        <rFont val="Arial"/>
        <family val="0"/>
        <charset val="1"/>
      </rPr>
      <t xml:space="preserve">SI </t>
    </r>
    <r>
      <rPr>
        <sz val="9"/>
        <color rgb="FF595959"/>
        <rFont val="WenQuanYi Zen Hei"/>
        <family val="2"/>
      </rPr>
      <t xml:space="preserve">시장 수준 추정치이며 제경비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이윤 포함</t>
    </r>
    <r>
      <rPr>
        <sz val="9"/>
        <color rgb="FF595959"/>
        <rFont val="Arial"/>
        <family val="0"/>
        <charset val="1"/>
      </rPr>
      <t xml:space="preserve">.</t>
    </r>
  </si>
  <si>
    <t xml:space="preserve">등급</t>
  </si>
  <si>
    <t xml:space="preserve">역할</t>
  </si>
  <si>
    <t xml:space="preserve">M/M</t>
  </si>
  <si>
    <r>
      <rPr>
        <b val="true"/>
        <sz val="10"/>
        <color rgb="FFFFFFFF"/>
        <rFont val="WenQuanYi Zen Hei"/>
        <family val="2"/>
      </rPr>
      <t xml:space="preserve">월 단가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</si>
  <si>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PM 0.5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, AI </t>
    </r>
    <r>
      <rPr>
        <sz val="10"/>
        <color rgb="FF000000"/>
        <rFont val="WenQuanYi Zen Hei"/>
        <family val="2"/>
      </rPr>
      <t xml:space="preserve">아키텍트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</t>
    </r>
  </si>
  <si>
    <r>
      <rPr>
        <sz val="10"/>
        <color rgb="FF000000"/>
        <rFont val="WenQuanYi Zen Hei"/>
        <family val="2"/>
      </rPr>
      <t xml:space="preserve">경력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년 이상</t>
    </r>
  </si>
  <si>
    <r>
      <rPr>
        <sz val="10"/>
        <color rgb="FF000000"/>
        <rFont val="WenQuanYi Zen Hei"/>
        <family val="2"/>
      </rPr>
      <t xml:space="preserve">모델 서빙</t>
    </r>
    <r>
      <rPr>
        <sz val="10"/>
        <color rgb="FF000000"/>
        <rFont val="Arial"/>
        <family val="0"/>
        <charset val="1"/>
      </rPr>
      <t xml:space="preserve">·MLOps, RAG, Text-to-SQL </t>
    </r>
    <r>
      <rPr>
        <sz val="10"/>
        <color rgb="FF000000"/>
        <rFont val="WenQuanYi Zen Hei"/>
        <family val="2"/>
      </rPr>
      <t xml:space="preserve">엔지니어 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</t>
    </r>
  </si>
  <si>
    <r>
      <rPr>
        <sz val="10"/>
        <color rgb="FF000000"/>
        <rFont val="WenQuanYi Zen Hei"/>
        <family val="2"/>
      </rPr>
      <t xml:space="preserve">경력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년 이상</t>
    </r>
  </si>
  <si>
    <r>
      <rPr>
        <sz val="10"/>
        <color rgb="FF000000"/>
        <rFont val="WenQuanYi Zen Hei"/>
        <family val="2"/>
      </rPr>
      <t xml:space="preserve">가드레일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평가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백엔드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프론트엔드</t>
    </r>
  </si>
  <si>
    <r>
      <rPr>
        <sz val="10"/>
        <color rgb="FF000000"/>
        <rFont val="WenQuanYi Zen Hei"/>
        <family val="2"/>
      </rPr>
      <t xml:space="preserve">경력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년 이상</t>
    </r>
  </si>
  <si>
    <r>
      <rPr>
        <sz val="10"/>
        <color rgb="FF000000"/>
        <rFont val="Arial"/>
        <family val="0"/>
        <charset val="1"/>
      </rPr>
      <t xml:space="preserve">QA·</t>
    </r>
    <r>
      <rPr>
        <sz val="10"/>
        <color rgb="FF000000"/>
        <rFont val="WenQuanYi Zen Hei"/>
        <family val="2"/>
      </rPr>
      <t xml:space="preserve">문서화</t>
    </r>
  </si>
  <si>
    <r>
      <rPr>
        <sz val="10"/>
        <color rgb="FF000000"/>
        <rFont val="WenQuanYi Zen Hei"/>
        <family val="2"/>
      </rPr>
      <t xml:space="preserve">경력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년 이상</t>
    </r>
  </si>
  <si>
    <t xml:space="preserve">인건비 소계</t>
  </si>
  <si>
    <t xml:space="preserve">경비 항목</t>
  </si>
  <si>
    <t xml:space="preserve">수량</t>
  </si>
  <si>
    <r>
      <rPr>
        <b val="true"/>
        <sz val="10"/>
        <color rgb="FFFFFFFF"/>
        <rFont val="WenQuanYi Zen Hei"/>
        <family val="2"/>
      </rPr>
      <t xml:space="preserve">단가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</si>
  <si>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사전 벤치마크용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서버 임차</t>
    </r>
  </si>
  <si>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, L40S</t>
    </r>
    <r>
      <rPr>
        <sz val="10"/>
        <color rgb="FF000000"/>
        <rFont val="WenQuanYi Zen Hei"/>
        <family val="2"/>
      </rPr>
      <t xml:space="preserve">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서버 반입 전 모델 검증</t>
    </r>
  </si>
  <si>
    <r>
      <rPr>
        <sz val="10"/>
        <color rgb="FF000000"/>
        <rFont val="WenQuanYi Zen Hei"/>
        <family val="2"/>
      </rPr>
      <t xml:space="preserve">상주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출장비</t>
    </r>
  </si>
  <si>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발주사 본사 상주 협의 시</t>
    </r>
  </si>
  <si>
    <t xml:space="preserve">경비 소계</t>
  </si>
  <si>
    <t xml:space="preserve">항목</t>
  </si>
  <si>
    <t xml:space="preserve">총액</t>
  </si>
  <si>
    <r>
      <rPr>
        <sz val="10"/>
        <color rgb="FF000000"/>
        <rFont val="WenQuanYi Zen Hei"/>
        <family val="2"/>
      </rPr>
      <t xml:space="preserve">인건비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경비</t>
    </r>
  </si>
  <si>
    <t xml:space="preserve">계약 협의에 따라 조정</t>
  </si>
  <si>
    <r>
      <rPr>
        <sz val="10"/>
        <color rgb="FF000000"/>
        <rFont val="WenQuanYi Zen Hei"/>
        <family val="2"/>
      </rPr>
      <t xml:space="preserve">제안가 </t>
    </r>
    <r>
      <rPr>
        <sz val="10"/>
        <color rgb="FF000000"/>
        <rFont val="Arial"/>
        <family val="0"/>
        <charset val="1"/>
      </rPr>
      <t xml:space="preserve">(VAT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Arial"/>
        <family val="0"/>
        <charset val="1"/>
      </rPr>
      <t xml:space="preserve">)</t>
    </r>
  </si>
  <si>
    <t xml:space="preserve">부가세율</t>
  </si>
  <si>
    <r>
      <rPr>
        <b val="true"/>
        <sz val="14"/>
        <color rgb="FF000000"/>
        <rFont val="WenQuanYi Zen Hei"/>
        <family val="2"/>
      </rPr>
      <t xml:space="preserve">추진 일정 </t>
    </r>
    <r>
      <rPr>
        <b val="true"/>
        <sz val="14"/>
        <color rgb="FF000000"/>
        <rFont val="Arial"/>
        <family val="0"/>
        <charset val="1"/>
      </rPr>
      <t xml:space="preserve">(4</t>
    </r>
    <r>
      <rPr>
        <b val="true"/>
        <sz val="14"/>
        <color rgb="FF000000"/>
        <rFont val="WenQuanYi Zen Hei"/>
        <family val="2"/>
      </rPr>
      <t xml:space="preserve">개월</t>
    </r>
    <r>
      <rPr>
        <b val="true"/>
        <sz val="14"/>
        <color rgb="FF000000"/>
        <rFont val="Arial"/>
        <family val="0"/>
        <charset val="1"/>
      </rPr>
      <t xml:space="preserve">)</t>
    </r>
  </si>
  <si>
    <t xml:space="preserve">M1</t>
  </si>
  <si>
    <t xml:space="preserve">M2</t>
  </si>
  <si>
    <t xml:space="preserve">M3</t>
  </si>
  <si>
    <t xml:space="preserve">M4</t>
  </si>
  <si>
    <t xml:space="preserve">주요 산출물</t>
  </si>
  <si>
    <r>
      <rPr>
        <sz val="10"/>
        <color rgb="FF000000"/>
        <rFont val="WenQuanYi Zen Hei"/>
        <family val="2"/>
      </rPr>
      <t xml:space="preserve">착수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설계</t>
    </r>
  </si>
  <si>
    <r>
      <rPr>
        <sz val="10"/>
        <color rgb="FF000000"/>
        <rFont val="WenQuanYi Zen Hei"/>
        <family val="2"/>
      </rPr>
      <t xml:space="preserve">요구사항 정의서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아키텍처</t>
    </r>
    <r>
      <rPr>
        <sz val="10"/>
        <color rgb="FF000000"/>
        <rFont val="Arial"/>
        <family val="0"/>
        <charset val="1"/>
      </rPr>
      <t xml:space="preserve">·GPU </t>
    </r>
    <r>
      <rPr>
        <sz val="10"/>
        <color rgb="FF000000"/>
        <rFont val="WenQuanYi Zen Hei"/>
        <family val="2"/>
      </rPr>
      <t xml:space="preserve">분할 설계서</t>
    </r>
  </si>
  <si>
    <r>
      <rPr>
        <sz val="10"/>
        <color rgb="FF000000"/>
        <rFont val="WenQuanYi Zen Hei"/>
        <family val="2"/>
      </rPr>
      <t xml:space="preserve">모델 서빙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엔드포인트</t>
    </r>
  </si>
  <si>
    <r>
      <rPr>
        <sz val="10"/>
        <color rgb="FF000000"/>
        <rFont val="WenQuanYi Zen Hei"/>
        <family val="2"/>
      </rPr>
      <t xml:space="preserve">비정형 </t>
    </r>
    <r>
      <rPr>
        <sz val="10"/>
        <color rgb="FF000000"/>
        <rFont val="Arial"/>
        <family val="0"/>
        <charset val="1"/>
      </rPr>
      <t xml:space="preserve">RAG</t>
    </r>
  </si>
  <si>
    <t xml:space="preserve">하이브리드 검색 엔진</t>
  </si>
  <si>
    <r>
      <rPr>
        <sz val="10"/>
        <color rgb="FF000000"/>
        <rFont val="Arial"/>
        <family val="0"/>
        <charset val="1"/>
      </rPr>
      <t xml:space="preserve">Text-to-SQL </t>
    </r>
    <r>
      <rPr>
        <sz val="10"/>
        <color rgb="FF000000"/>
        <rFont val="WenQuanYi Zen Hei"/>
        <family val="2"/>
      </rPr>
      <t xml:space="preserve">모듈</t>
    </r>
  </si>
  <si>
    <r>
      <rPr>
        <sz val="10"/>
        <color rgb="FF000000"/>
        <rFont val="WenQuanYi Zen Hei"/>
        <family val="2"/>
      </rPr>
      <t xml:space="preserve">질의 라우터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답변 생성 모듈</t>
    </r>
  </si>
  <si>
    <r>
      <rPr>
        <sz val="10"/>
        <color rgb="FF000000"/>
        <rFont val="WenQuanYi Zen Hei"/>
        <family val="2"/>
      </rPr>
      <t xml:space="preserve">가드레일 모듈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평가 결과</t>
    </r>
  </si>
  <si>
    <r>
      <rPr>
        <sz val="10"/>
        <color rgb="FF000000"/>
        <rFont val="WenQuanYi Zen Hei"/>
        <family val="2"/>
      </rPr>
      <t xml:space="preserve">질의응답 포털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베타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</si>
  <si>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SSO·RBAC·</t>
    </r>
    <r>
      <rPr>
        <sz val="10"/>
        <color rgb="FF000000"/>
        <rFont val="WenQuanYi Zen Hei"/>
        <family val="2"/>
      </rPr>
      <t xml:space="preserve">감사 로그</t>
    </r>
  </si>
  <si>
    <r>
      <rPr>
        <sz val="10"/>
        <color rgb="FF000000"/>
        <rFont val="WenQuanYi Zen Hei"/>
        <family val="2"/>
      </rPr>
      <t xml:space="preserve">통합 시험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튜닝</t>
    </r>
  </si>
  <si>
    <t xml:space="preserve">통합 시험 결과서</t>
  </si>
  <si>
    <r>
      <rPr>
        <sz val="10"/>
        <color rgb="FF000000"/>
        <rFont val="WenQuanYi Zen Hei"/>
        <family val="2"/>
      </rPr>
      <t xml:space="preserve">교육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기술 이전</t>
    </r>
  </si>
  <si>
    <r>
      <rPr>
        <sz val="10"/>
        <color rgb="FF000000"/>
        <rFont val="WenQuanYi Zen Hei"/>
        <family val="2"/>
      </rPr>
      <t xml:space="preserve">사용자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운영자 매뉴얼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소스 일체</t>
    </r>
  </si>
  <si>
    <r>
      <rPr>
        <sz val="10"/>
        <color rgb="FF000000"/>
        <rFont val="WenQuanYi Zen Hei"/>
        <family val="2"/>
      </rPr>
      <t xml:space="preserve">사업 관리</t>
    </r>
    <r>
      <rPr>
        <sz val="10"/>
        <color rgb="FF000000"/>
        <rFont val="Arial"/>
        <family val="0"/>
        <charset val="1"/>
      </rPr>
      <t xml:space="preserve">(PM)</t>
    </r>
  </si>
  <si>
    <r>
      <rPr>
        <sz val="10"/>
        <color rgb="FF000000"/>
        <rFont val="WenQuanYi Zen Hei"/>
        <family val="2"/>
      </rPr>
      <t xml:space="preserve">주간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월간 보고서</t>
    </r>
  </si>
  <si>
    <r>
      <rPr>
        <sz val="9"/>
        <color rgb="FF595959"/>
        <rFont val="WenQuanYi Zen Hei"/>
        <family val="2"/>
      </rPr>
      <t xml:space="preserve">※ 전체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개월 사업에 편입 시</t>
    </r>
    <r>
      <rPr>
        <sz val="9"/>
        <color rgb="FF595959"/>
        <rFont val="Arial"/>
        <family val="0"/>
        <charset val="1"/>
      </rPr>
      <t xml:space="preserve">: M1</t>
    </r>
    <r>
      <rPr>
        <sz val="9"/>
        <color rgb="FF595959"/>
        <rFont val="WenQuanYi Zen Hei"/>
        <family val="2"/>
      </rPr>
      <t xml:space="preserve">에 서빙 인프라 선구축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메타 </t>
    </r>
    <r>
      <rPr>
        <sz val="9"/>
        <color rgb="FF595959"/>
        <rFont val="Arial"/>
        <family val="0"/>
        <charset val="1"/>
      </rPr>
      <t xml:space="preserve">DB </t>
    </r>
    <r>
      <rPr>
        <sz val="9"/>
        <color rgb="FF595959"/>
        <rFont val="WenQuanYi Zen Hei"/>
        <family val="2"/>
      </rPr>
      <t xml:space="preserve">적재 완료</t>
    </r>
    <r>
      <rPr>
        <sz val="9"/>
        <color rgb="FF595959"/>
        <rFont val="Arial"/>
        <family val="0"/>
        <charset val="1"/>
      </rPr>
      <t xml:space="preserve">(M4)</t>
    </r>
    <r>
      <rPr>
        <sz val="9"/>
        <color rgb="FF595959"/>
        <rFont val="WenQuanYi Zen Hei"/>
        <family val="2"/>
      </rPr>
      <t xml:space="preserve">부터 본격 개발로 조정 가능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</si>
  <si>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color rgb="FF000000"/>
        <rFont val="WenQuanYi Zen Hei"/>
        <family val="2"/>
      </rPr>
      <t xml:space="preserve">옵션 항목</t>
    </r>
    <r>
      <rPr>
        <b val="true"/>
        <sz val="14"/>
        <color rgb="FF000000"/>
        <rFont val="Arial"/>
        <family val="0"/>
        <charset val="1"/>
      </rPr>
      <t xml:space="preserve">, </t>
    </r>
    <r>
      <rPr>
        <b val="true"/>
        <sz val="14"/>
        <color rgb="FF000000"/>
        <rFont val="WenQuanYi Zen Hei"/>
        <family val="2"/>
      </rPr>
      <t xml:space="preserve">전제 조건</t>
    </r>
    <r>
      <rPr>
        <b val="true"/>
        <sz val="14"/>
        <color rgb="FF000000"/>
        <rFont val="Arial"/>
        <family val="0"/>
        <charset val="1"/>
      </rPr>
      <t xml:space="preserve">, </t>
    </r>
    <r>
      <rPr>
        <b val="true"/>
        <sz val="14"/>
        <color rgb="FF000000"/>
        <rFont val="WenQuanYi Zen Hei"/>
        <family val="2"/>
      </rPr>
      <t xml:space="preserve">검수 기준</t>
    </r>
    <r>
      <rPr>
        <b val="true"/>
        <sz val="14"/>
        <color rgb="FF000000"/>
        <rFont val="Arial"/>
        <family val="0"/>
        <charset val="1"/>
      </rPr>
      <t xml:space="preserve">, GPU </t>
    </r>
    <r>
      <rPr>
        <b val="true"/>
        <sz val="14"/>
        <color rgb="FF000000"/>
        <rFont val="WenQuanYi Zen Hei"/>
        <family val="2"/>
      </rPr>
      <t xml:space="preserve">구성</t>
    </r>
  </si>
  <si>
    <t xml:space="preserve">옵션</t>
  </si>
  <si>
    <t xml:space="preserve">내용</t>
  </si>
  <si>
    <r>
      <rPr>
        <b val="true"/>
        <sz val="10"/>
        <color rgb="FFFFFFFF"/>
        <rFont val="WenQuanYi Zen Hei"/>
        <family val="2"/>
      </rPr>
      <t xml:space="preserve">고급 </t>
    </r>
    <r>
      <rPr>
        <b val="true"/>
        <sz val="10"/>
        <color rgb="FFFFFFFF"/>
        <rFont val="Arial"/>
        <family val="0"/>
        <charset val="1"/>
      </rPr>
      <t xml:space="preserve">M/M</t>
    </r>
  </si>
  <si>
    <r>
      <rPr>
        <b val="true"/>
        <sz val="10"/>
        <color rgb="FFFFFFFF"/>
        <rFont val="WenQuanYi Zen Hei"/>
        <family val="2"/>
      </rPr>
      <t xml:space="preserve">중급 </t>
    </r>
    <r>
      <rPr>
        <b val="true"/>
        <sz val="10"/>
        <color rgb="FFFFFFFF"/>
        <rFont val="Arial"/>
        <family val="0"/>
        <charset val="1"/>
      </rPr>
      <t xml:space="preserve">M/M</t>
    </r>
  </si>
  <si>
    <t xml:space="preserve">A</t>
  </si>
  <si>
    <r>
      <rPr>
        <sz val="10"/>
        <color rgb="FF000000"/>
        <rFont val="Arial"/>
        <family val="0"/>
        <charset val="1"/>
      </rPr>
      <t xml:space="preserve">70B LLM </t>
    </r>
    <r>
      <rPr>
        <sz val="10"/>
        <color rgb="FF000000"/>
        <rFont val="WenQuanYi Zen Hei"/>
        <family val="2"/>
      </rPr>
      <t xml:space="preserve">서빙과 </t>
    </r>
    <r>
      <rPr>
        <sz val="10"/>
        <color rgb="FF000000"/>
        <rFont val="Arial"/>
        <family val="0"/>
        <charset val="1"/>
      </rPr>
      <t xml:space="preserve">SLM·LLM </t>
    </r>
    <r>
      <rPr>
        <sz val="10"/>
        <color rgb="FF000000"/>
        <rFont val="WenQuanYi Zen Hei"/>
        <family val="2"/>
      </rPr>
      <t xml:space="preserve">자동 선택 고도화</t>
    </r>
  </si>
  <si>
    <t xml:space="preserve">B</t>
  </si>
  <si>
    <r>
      <rPr>
        <sz val="10"/>
        <color rgb="FF000000"/>
        <rFont val="WenQuanYi Zen Hei"/>
        <family val="2"/>
      </rPr>
      <t xml:space="preserve">스캔 </t>
    </r>
    <r>
      <rPr>
        <sz val="10"/>
        <color rgb="FF000000"/>
        <rFont val="Arial"/>
        <family val="0"/>
        <charset val="1"/>
      </rPr>
      <t xml:space="preserve">PDF OCR </t>
    </r>
    <r>
      <rPr>
        <sz val="10"/>
        <color rgb="FF000000"/>
        <rFont val="WenQuanYi Zen Hei"/>
        <family val="2"/>
      </rPr>
      <t xml:space="preserve">인덱싱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도면</t>
    </r>
    <r>
      <rPr>
        <sz val="10"/>
        <color rgb="FF000000"/>
        <rFont val="Arial"/>
        <family val="0"/>
        <charset val="1"/>
      </rPr>
      <t xml:space="preserve">·Form PDF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</si>
  <si>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t xml:space="preserve">C</t>
  </si>
  <si>
    <r>
      <rPr>
        <sz val="10"/>
        <color rgb="FF000000"/>
        <rFont val="WenQuanYi Zen Hei"/>
        <family val="2"/>
      </rPr>
      <t xml:space="preserve">유지보수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운영 지원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하자보수 기간 이후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</si>
  <si>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월 단가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또는 연 계약가의 </t>
    </r>
    <r>
      <rPr>
        <sz val="10"/>
        <color rgb="FF000000"/>
        <rFont val="Arial"/>
        <family val="0"/>
        <charset val="1"/>
      </rPr>
      <t xml:space="preserve">12~15%</t>
    </r>
  </si>
  <si>
    <t xml:space="preserve">검수 항목</t>
  </si>
  <si>
    <r>
      <rPr>
        <b val="true"/>
        <sz val="10"/>
        <color rgb="FFFFFFFF"/>
        <rFont val="WenQuanYi Zen Hei"/>
        <family val="2"/>
      </rPr>
      <t xml:space="preserve">검수 기준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제안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</si>
  <si>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Golden Set </t>
    </r>
    <r>
      <rPr>
        <sz val="10"/>
        <color rgb="FF000000"/>
        <rFont val="WenQuanYi Zen Hei"/>
        <family val="2"/>
      </rPr>
      <t xml:space="preserve">기준 실행 정확도 </t>
    </r>
    <r>
      <rPr>
        <sz val="10"/>
        <color rgb="FF000000"/>
        <rFont val="Arial"/>
        <family val="0"/>
        <charset val="1"/>
      </rPr>
      <t xml:space="preserve">90% 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Arial"/>
        <family val="0"/>
        <charset val="1"/>
      </rPr>
      <t xml:space="preserve">. DB </t>
    </r>
    <r>
      <rPr>
        <sz val="10"/>
        <color rgb="FF000000"/>
        <rFont val="WenQuanYi Zen Hei"/>
        <family val="2"/>
      </rPr>
      <t xml:space="preserve">조회 수치는 수정 없이 그대로 출력 </t>
    </r>
    <r>
      <rPr>
        <sz val="10"/>
        <color rgb="FF000000"/>
        <rFont val="Arial"/>
        <family val="0"/>
        <charset val="1"/>
      </rPr>
      <t xml:space="preserve">(RFP '0% </t>
    </r>
    <r>
      <rPr>
        <sz val="10"/>
        <color rgb="FF000000"/>
        <rFont val="WenQuanYi Zen Hei"/>
        <family val="2"/>
      </rPr>
      <t xml:space="preserve">오차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대체 기준</t>
    </r>
    <r>
      <rPr>
        <sz val="10"/>
        <color rgb="FF000000"/>
        <rFont val="Arial"/>
        <family val="0"/>
        <charset val="1"/>
      </rPr>
      <t xml:space="preserve">)</t>
    </r>
  </si>
  <si>
    <t xml:space="preserve">비정형 검색</t>
  </si>
  <si>
    <r>
      <rPr>
        <sz val="10"/>
        <color rgb="FF000000"/>
        <rFont val="Arial"/>
        <family val="0"/>
        <charset val="1"/>
      </rPr>
      <t xml:space="preserve">Recall@5 85% </t>
    </r>
    <r>
      <rPr>
        <sz val="10"/>
        <color rgb="FF000000"/>
        <rFont val="WenQuanYi Zen Hei"/>
        <family val="2"/>
      </rPr>
      <t xml:space="preserve">이상</t>
    </r>
  </si>
  <si>
    <t xml:space="preserve">수치 가드레일</t>
  </si>
  <si>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값과 다른 수치 </t>
    </r>
    <r>
      <rPr>
        <sz val="10"/>
        <color rgb="FF000000"/>
        <rFont val="Arial"/>
        <family val="0"/>
        <charset val="1"/>
      </rPr>
      <t xml:space="preserve">95% </t>
    </r>
    <r>
      <rPr>
        <sz val="10"/>
        <color rgb="FF000000"/>
        <rFont val="WenQuanYi Zen Hei"/>
        <family val="2"/>
      </rPr>
      <t xml:space="preserve">이상 탐지 및 차단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경고</t>
    </r>
  </si>
  <si>
    <t xml:space="preserve">근거 표시</t>
  </si>
  <si>
    <r>
      <rPr>
        <sz val="10"/>
        <color rgb="FF000000"/>
        <rFont val="WenQuanYi Zen Hei"/>
        <family val="2"/>
      </rPr>
      <t xml:space="preserve">모든 답변에 출처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파일 링크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첨부</t>
    </r>
  </si>
  <si>
    <t xml:space="preserve">응답 시간</t>
  </si>
  <si>
    <r>
      <rPr>
        <sz val="10"/>
        <color rgb="FF000000"/>
        <rFont val="WenQuanYi Zen Hei"/>
        <family val="2"/>
      </rPr>
      <t xml:space="preserve">동시 사용자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명 기준 </t>
    </r>
    <r>
      <rPr>
        <sz val="10"/>
        <color rgb="FF000000"/>
        <rFont val="Arial"/>
        <family val="0"/>
        <charset val="1"/>
      </rPr>
      <t xml:space="preserve">p95 15</t>
    </r>
    <r>
      <rPr>
        <sz val="10"/>
        <color rgb="FF000000"/>
        <rFont val="WenQuanYi Zen Hei"/>
        <family val="2"/>
      </rPr>
      <t xml:space="preserve">초 이내</t>
    </r>
  </si>
  <si>
    <t xml:space="preserve">전제 조건</t>
  </si>
  <si>
    <r>
      <rPr>
        <sz val="10"/>
        <color rgb="FF000000"/>
        <rFont val="WenQuanYi Zen Hei"/>
        <family val="2"/>
      </rPr>
      <t xml:space="preserve">메타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스키마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데이터 적재는 별도 과업으로 완료되며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개발사에 </t>
    </r>
    <r>
      <rPr>
        <sz val="10"/>
        <color rgb="FF000000"/>
        <rFont val="Arial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읽기 전용 계정 제공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</si>
  <si>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서버는 착수 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주 이내 제공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지연 시 동일 기간 일정 연장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</si>
  <si>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발주사 도메인 인력이 </t>
    </r>
    <r>
      <rPr>
        <sz val="10"/>
        <color rgb="FF000000"/>
        <rFont val="Arial"/>
        <family val="0"/>
        <charset val="1"/>
      </rPr>
      <t xml:space="preserve">Golden Set(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문항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과 용어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단위 사전을 </t>
    </r>
    <r>
      <rPr>
        <sz val="10"/>
        <color rgb="FF000000"/>
        <rFont val="Arial"/>
        <family val="0"/>
        <charset val="1"/>
      </rPr>
      <t xml:space="preserve">M2</t>
    </r>
    <r>
      <rPr>
        <sz val="10"/>
        <color rgb="FF000000"/>
        <rFont val="WenQuanYi Zen Hei"/>
        <family val="2"/>
      </rPr>
      <t xml:space="preserve">까지 제공</t>
    </r>
  </si>
  <si>
    <r>
      <rPr>
        <sz val="10"/>
        <color rgb="FF000000"/>
        <rFont val="WenQuanYi Zen Hei"/>
        <family val="2"/>
      </rPr>
      <t xml:space="preserve">비정형 문서는 텍스트 기반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만 페이지 이내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스캔 문서는 옵션 </t>
    </r>
    <r>
      <rPr>
        <sz val="10"/>
        <color rgb="FF000000"/>
        <rFont val="Arial"/>
        <family val="0"/>
        <charset val="1"/>
      </rPr>
      <t xml:space="preserve">B)</t>
    </r>
  </si>
  <si>
    <r>
      <rPr>
        <sz val="10"/>
        <color rgb="FF000000"/>
        <rFont val="WenQuanYi Zen Hei"/>
        <family val="2"/>
      </rPr>
      <t xml:space="preserve">사내 </t>
    </r>
    <r>
      <rPr>
        <sz val="10"/>
        <color rgb="FF000000"/>
        <rFont val="Arial"/>
        <family val="0"/>
        <charset val="1"/>
      </rPr>
      <t xml:space="preserve">SSO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LDAP, SAML, OIDC </t>
    </r>
    <r>
      <rPr>
        <sz val="10"/>
        <color rgb="FF000000"/>
        <rFont val="WenQuanYi Zen Hei"/>
        <family val="2"/>
      </rPr>
      <t xml:space="preserve">등 표준 프로토콜 지원</t>
    </r>
  </si>
  <si>
    <r>
      <rPr>
        <sz val="10"/>
        <color rgb="FF000000"/>
        <rFont val="WenQuanYi Zen Hei"/>
        <family val="2"/>
      </rPr>
      <t xml:space="preserve">폐쇄망 모델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패키지 반입 절차는 발주사가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주 이내 처리</t>
    </r>
  </si>
  <si>
    <t xml:space="preserve">GPU</t>
  </si>
  <si>
    <r>
      <rPr>
        <b val="true"/>
        <sz val="10"/>
        <color rgb="FFFFFFFF"/>
        <rFont val="WenQuanYi Zen Hei"/>
        <family val="2"/>
      </rPr>
      <t xml:space="preserve">권장 구성 </t>
    </r>
    <r>
      <rPr>
        <b val="true"/>
        <sz val="10"/>
        <color rgb="FFFFFFFF"/>
        <rFont val="Arial"/>
        <family val="0"/>
        <charset val="1"/>
      </rPr>
      <t xml:space="preserve">(L40S 48GB × 2)</t>
    </r>
  </si>
  <si>
    <t xml:space="preserve">L40S #0</t>
  </si>
  <si>
    <r>
      <rPr>
        <sz val="10"/>
        <color rgb="FF000000"/>
        <rFont val="Arial"/>
        <family val="0"/>
        <charset val="1"/>
      </rPr>
      <t xml:space="preserve">32B</t>
    </r>
    <r>
      <rPr>
        <sz val="10"/>
        <color rgb="FF000000"/>
        <rFont val="WenQuanYi Zen Hei"/>
        <family val="2"/>
      </rPr>
      <t xml:space="preserve">급 </t>
    </r>
    <r>
      <rPr>
        <sz val="10"/>
        <color rgb="FF000000"/>
        <rFont val="Arial"/>
        <family val="0"/>
        <charset val="1"/>
      </rPr>
      <t xml:space="preserve">LLM, AWQ 4bit 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20GB) + KV </t>
    </r>
    <r>
      <rPr>
        <sz val="10"/>
        <color rgb="FF000000"/>
        <rFont val="WenQuanYi Zen Hei"/>
        <family val="2"/>
      </rPr>
      <t xml:space="preserve">캐시 → 답변 생성</t>
    </r>
    <r>
      <rPr>
        <sz val="10"/>
        <color rgb="FF000000"/>
        <rFont val="Arial"/>
        <family val="0"/>
        <charset val="1"/>
      </rPr>
      <t xml:space="preserve">, Text-to-SQL</t>
    </r>
  </si>
  <si>
    <t xml:space="preserve">L40S #1</t>
  </si>
  <si>
    <r>
      <rPr>
        <sz val="10"/>
        <color rgb="FF000000"/>
        <rFont val="Arial"/>
        <family val="0"/>
        <charset val="1"/>
      </rPr>
      <t xml:space="preserve">8B</t>
    </r>
    <r>
      <rPr>
        <sz val="10"/>
        <color rgb="FF000000"/>
        <rFont val="WenQuanYi Zen Hei"/>
        <family val="2"/>
      </rPr>
      <t xml:space="preserve">급 </t>
    </r>
    <r>
      <rPr>
        <sz val="10"/>
        <color rgb="FF000000"/>
        <rFont val="Arial"/>
        <family val="0"/>
        <charset val="1"/>
      </rPr>
      <t xml:space="preserve">SLM + </t>
    </r>
    <r>
      <rPr>
        <sz val="10"/>
        <color rgb="FF000000"/>
        <rFont val="WenQuanYi Zen Hei"/>
        <family val="2"/>
      </rPr>
      <t xml:space="preserve">임베딩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리랭커 → 질의 라우팅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요약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가드레일 판정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검색</t>
    </r>
  </si>
  <si>
    <r>
      <rPr>
        <sz val="10"/>
        <color rgb="FF000000"/>
        <rFont val="Arial"/>
        <family val="0"/>
        <charset val="1"/>
      </rPr>
      <t xml:space="preserve">70B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캐시 여유 부족</t>
    </r>
    <r>
      <rPr>
        <sz val="10"/>
        <color rgb="FF000000"/>
        <rFont val="Arial"/>
        <family val="0"/>
        <charset val="1"/>
      </rPr>
      <t xml:space="preserve">, NVLink </t>
    </r>
    <r>
      <rPr>
        <sz val="10"/>
        <color rgb="FF000000"/>
        <rFont val="WenQuanYi Zen Hei"/>
        <family val="2"/>
      </rPr>
      <t xml:space="preserve">부재로 기본 구성 제외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옵션 </t>
    </r>
    <r>
      <rPr>
        <sz val="10"/>
        <color rgb="FF000000"/>
        <rFont val="Arial"/>
        <family val="0"/>
        <charset val="1"/>
      </rPr>
      <t xml:space="preserve">A). </t>
    </r>
    <r>
      <rPr>
        <sz val="10"/>
        <color rgb="FF000000"/>
        <rFont val="WenQuanYi Zen Hei"/>
        <family val="2"/>
      </rPr>
      <t xml:space="preserve">모델은 계약 시점 최신 오픈소스 모델 중 벤치마크로 선정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</si>
</sst>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&quot; M/M&quot;"/>
    <numFmt numFmtId="166" formatCode="\₩#,##0"/>
    <numFmt numFmtId="167" formatCode="#,##0;\(#,##0\);\-"/>
    <numFmt numFmtId="168" formatCode="0.0;\(0.0\);\-"/>
    <numFmt numFmtId="169" formatCode="0"/>
    <numFmt numFmtId="170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WenQuanYi Zen Hei"/>
      <family val="2"/>
    </font>
    <font>
      <b val="true"/>
      <sz val="14"/>
      <color rgb="FF00000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EA9DB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2" t="s">
        <v>1</v>
      </c>
      <c r="B3" s="3" t="s">
        <v>2</v>
      </c>
      <c r="C3" s="3"/>
      <c r="D3" s="2" t="s">
        <v>3</v>
      </c>
      <c r="E3" s="3" t="s">
        <v>4</v>
      </c>
      <c r="F3" s="3"/>
    </row>
    <row r="4" customFormat="false" ht="19.5" hidden="false" customHeight="true" outlineLevel="0" collapsed="false">
      <c r="A4" s="2" t="s">
        <v>5</v>
      </c>
      <c r="B4" s="4" t="s">
        <v>6</v>
      </c>
      <c r="C4" s="4"/>
      <c r="D4" s="2" t="s">
        <v>7</v>
      </c>
      <c r="E4" s="4" t="s">
        <v>8</v>
      </c>
      <c r="F4" s="4"/>
    </row>
    <row r="5" customFormat="false" ht="30" hidden="false" customHeight="true" outlineLevel="0" collapsed="false">
      <c r="A5" s="2" t="s">
        <v>9</v>
      </c>
      <c r="B5" s="4" t="s">
        <v>10</v>
      </c>
      <c r="C5" s="4"/>
      <c r="D5" s="4"/>
      <c r="E5" s="4"/>
      <c r="F5" s="4"/>
    </row>
    <row r="6" customFormat="false" ht="30" hidden="false" customHeight="true" outlineLevel="0" collapsed="false">
      <c r="A6" s="2" t="s">
        <v>11</v>
      </c>
      <c r="B6" s="4" t="s">
        <v>12</v>
      </c>
      <c r="C6" s="4"/>
      <c r="D6" s="4"/>
      <c r="E6" s="4"/>
      <c r="F6" s="4"/>
    </row>
    <row r="7" customFormat="false" ht="19.5" hidden="false" customHeight="true" outlineLevel="0" collapsed="false">
      <c r="A7" s="2" t="s">
        <v>13</v>
      </c>
      <c r="B7" s="3" t="s">
        <v>14</v>
      </c>
      <c r="C7" s="3"/>
      <c r="D7" s="2" t="s">
        <v>15</v>
      </c>
      <c r="E7" s="5" t="n">
        <f aca="false">WBS!H16</f>
        <v>28</v>
      </c>
      <c r="F7" s="5"/>
    </row>
    <row r="9" customFormat="false" ht="31.5" hidden="false" customHeight="true" outlineLevel="0" collapsed="false">
      <c r="A9" s="6" t="s">
        <v>16</v>
      </c>
      <c r="B9" s="6"/>
      <c r="C9" s="7" t="n">
        <f aca="false">'인건비 산출'!E19</f>
        <v>295000000</v>
      </c>
      <c r="D9" s="7"/>
      <c r="E9" s="7"/>
      <c r="F9" s="7"/>
    </row>
    <row r="11" customFormat="false" ht="15" hidden="false" customHeight="false" outlineLevel="0" collapsed="false">
      <c r="A11" s="8" t="s">
        <v>17</v>
      </c>
      <c r="B11" s="9" t="s">
        <v>18</v>
      </c>
      <c r="C11" s="9" t="s">
        <v>19</v>
      </c>
      <c r="D11" s="8"/>
      <c r="E11" s="9" t="s">
        <v>20</v>
      </c>
      <c r="F11" s="9" t="s">
        <v>21</v>
      </c>
    </row>
    <row r="12" customFormat="false" ht="15" hidden="false" customHeight="false" outlineLevel="0" collapsed="false">
      <c r="A12" s="10" t="n">
        <v>1</v>
      </c>
      <c r="B12" s="11" t="s">
        <v>22</v>
      </c>
      <c r="C12" s="3" t="str">
        <f aca="false">"WBS 기준 "&amp;TEXT(WBS!H16,"0.0")&amp;" M/M 투입 (상세: 인건비 산출 시트)"</f>
        <v>WBS 기준 28.0 M/M 투입 (상세: 인건비 산출 시트)</v>
      </c>
      <c r="D12" s="3"/>
      <c r="E12" s="12" t="n">
        <f aca="false">'인건비 산출'!E9</f>
        <v>330000000</v>
      </c>
      <c r="F12" s="3"/>
    </row>
    <row r="13" customFormat="false" ht="15" hidden="false" customHeight="true" outlineLevel="0" collapsed="false">
      <c r="A13" s="10" t="n">
        <v>2</v>
      </c>
      <c r="B13" s="11" t="s">
        <v>23</v>
      </c>
      <c r="C13" s="3" t="s">
        <v>24</v>
      </c>
      <c r="D13" s="3"/>
      <c r="E13" s="12" t="n">
        <f aca="false">'인건비 산출'!E14</f>
        <v>14000000</v>
      </c>
      <c r="F13" s="3"/>
    </row>
    <row r="14" customFormat="false" ht="15" hidden="false" customHeight="true" outlineLevel="0" collapsed="false">
      <c r="A14" s="10" t="n">
        <v>3</v>
      </c>
      <c r="B14" s="11" t="s">
        <v>25</v>
      </c>
      <c r="C14" s="4" t="s">
        <v>26</v>
      </c>
      <c r="D14" s="4"/>
      <c r="E14" s="12" t="n">
        <f aca="false">'인건비 산출'!E18</f>
        <v>-49000000</v>
      </c>
      <c r="F14" s="3"/>
    </row>
    <row r="15" customFormat="false" ht="15" hidden="false" customHeight="false" outlineLevel="0" collapsed="false">
      <c r="A15" s="13" t="n">
        <v>4</v>
      </c>
      <c r="B15" s="14" t="s">
        <v>27</v>
      </c>
      <c r="C15" s="15"/>
      <c r="D15" s="15"/>
      <c r="E15" s="16" t="n">
        <f aca="false">'인건비 산출'!E19</f>
        <v>295000000</v>
      </c>
      <c r="F15" s="15" t="s">
        <v>28</v>
      </c>
    </row>
    <row r="16" customFormat="false" ht="15" hidden="false" customHeight="true" outlineLevel="0" collapsed="false">
      <c r="A16" s="10" t="n">
        <v>5</v>
      </c>
      <c r="B16" s="11" t="s">
        <v>29</v>
      </c>
      <c r="C16" s="3" t="s">
        <v>30</v>
      </c>
      <c r="D16" s="3"/>
      <c r="E16" s="12" t="n">
        <f aca="false">'인건비 산출'!E20</f>
        <v>29500000</v>
      </c>
      <c r="F16" s="3"/>
    </row>
    <row r="17" customFormat="false" ht="15" hidden="false" customHeight="true" outlineLevel="0" collapsed="false">
      <c r="A17" s="13" t="n">
        <v>6</v>
      </c>
      <c r="B17" s="14" t="s">
        <v>31</v>
      </c>
      <c r="C17" s="15" t="s">
        <v>32</v>
      </c>
      <c r="D17" s="15"/>
      <c r="E17" s="16" t="n">
        <f aca="false">'인건비 산출'!E21</f>
        <v>324500000</v>
      </c>
      <c r="F17" s="15"/>
    </row>
    <row r="19" customFormat="false" ht="15" hidden="false" customHeight="true" outlineLevel="0" collapsed="false">
      <c r="A19" s="17" t="s">
        <v>33</v>
      </c>
      <c r="B19" s="17"/>
      <c r="C19" s="17"/>
      <c r="D19" s="17"/>
      <c r="E19" s="17"/>
      <c r="F19" s="17"/>
    </row>
    <row r="20" customFormat="false" ht="15" hidden="false" customHeight="true" outlineLevel="0" collapsed="false">
      <c r="A20" s="18" t="s">
        <v>34</v>
      </c>
      <c r="B20" s="18"/>
      <c r="C20" s="18"/>
      <c r="D20" s="18"/>
      <c r="E20" s="18"/>
      <c r="F20" s="18"/>
    </row>
    <row r="21" customFormat="false" ht="15" hidden="false" customHeight="true" outlineLevel="0" collapsed="false">
      <c r="A21" s="18" t="s">
        <v>35</v>
      </c>
      <c r="B21" s="18"/>
      <c r="C21" s="18"/>
      <c r="D21" s="18"/>
      <c r="E21" s="18"/>
      <c r="F21" s="18"/>
    </row>
    <row r="22" customFormat="false" ht="15" hidden="false" customHeight="true" outlineLevel="0" collapsed="false">
      <c r="A22" s="18" t="s">
        <v>36</v>
      </c>
      <c r="B22" s="18"/>
      <c r="C22" s="18"/>
      <c r="D22" s="18"/>
      <c r="E22" s="18"/>
      <c r="F22" s="18"/>
    </row>
    <row r="23" customFormat="false" ht="15" hidden="false" customHeight="true" outlineLevel="0" collapsed="false">
      <c r="A23" s="18" t="s">
        <v>37</v>
      </c>
      <c r="B23" s="18"/>
      <c r="C23" s="18"/>
      <c r="D23" s="18"/>
      <c r="E23" s="18"/>
      <c r="F23" s="18"/>
    </row>
    <row r="24" customFormat="false" ht="15" hidden="false" customHeight="true" outlineLevel="0" collapsed="false">
      <c r="A24" s="18" t="s">
        <v>38</v>
      </c>
      <c r="B24" s="18"/>
      <c r="C24" s="18"/>
      <c r="D24" s="18"/>
      <c r="E24" s="18"/>
      <c r="F24" s="18"/>
    </row>
    <row r="25" customFormat="false" ht="15" hidden="false" customHeight="true" outlineLevel="0" collapsed="false">
      <c r="A25" s="18" t="s">
        <v>39</v>
      </c>
      <c r="B25" s="18"/>
      <c r="C25" s="18"/>
      <c r="D25" s="18"/>
      <c r="E25" s="18"/>
      <c r="F25" s="18"/>
    </row>
    <row r="27" customFormat="false" ht="15" hidden="false" customHeight="false" outlineLevel="0" collapsed="false">
      <c r="D27" s="19" t="s">
        <v>40</v>
      </c>
      <c r="E27" s="19"/>
      <c r="F27" s="19"/>
    </row>
  </sheetData>
  <mergeCells count="25">
    <mergeCell ref="A1:F1"/>
    <mergeCell ref="B3:C3"/>
    <mergeCell ref="E3:F3"/>
    <mergeCell ref="B4:C4"/>
    <mergeCell ref="E4:F4"/>
    <mergeCell ref="B5:F5"/>
    <mergeCell ref="B6:F6"/>
    <mergeCell ref="B7:C7"/>
    <mergeCell ref="E7:F7"/>
    <mergeCell ref="A9:B9"/>
    <mergeCell ref="C9:F9"/>
    <mergeCell ref="C12:D12"/>
    <mergeCell ref="C13:D13"/>
    <mergeCell ref="C14:D14"/>
    <mergeCell ref="C15:D15"/>
    <mergeCell ref="C16:D16"/>
    <mergeCell ref="C17:D17"/>
    <mergeCell ref="A19:F19"/>
    <mergeCell ref="A20:F20"/>
    <mergeCell ref="A21:F21"/>
    <mergeCell ref="A22:F22"/>
    <mergeCell ref="A23:F23"/>
    <mergeCell ref="A24:F24"/>
    <mergeCell ref="A25:F25"/>
    <mergeCell ref="D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7" min="4" style="0" width="9"/>
    <col collapsed="false" customWidth="true" hidden="false" outlineLevel="0" max="8" min="8" style="0" width="10"/>
  </cols>
  <sheetData>
    <row r="1" customFormat="false" ht="30" hidden="false" customHeight="true" outlineLevel="0" collapsed="false">
      <c r="A1" s="20" t="s">
        <v>41</v>
      </c>
      <c r="B1" s="20"/>
      <c r="C1" s="20"/>
      <c r="D1" s="20"/>
      <c r="E1" s="20"/>
      <c r="F1" s="20"/>
      <c r="G1" s="20"/>
      <c r="H1" s="20"/>
    </row>
    <row r="2" customFormat="false" ht="15" hidden="false" customHeight="false" outlineLevel="0" collapsed="false">
      <c r="A2" s="21" t="s">
        <v>42</v>
      </c>
    </row>
    <row r="4" customFormat="false" ht="15" hidden="false" customHeight="false" outlineLevel="0" collapsed="false">
      <c r="A4" s="8" t="s">
        <v>17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31</v>
      </c>
    </row>
    <row r="5" customFormat="false" ht="26.85" hidden="false" customHeight="false" outlineLevel="0" collapsed="false">
      <c r="A5" s="10" t="n">
        <v>1</v>
      </c>
      <c r="B5" s="22" t="s">
        <v>49</v>
      </c>
      <c r="C5" s="4" t="s">
        <v>50</v>
      </c>
      <c r="D5" s="23" t="n">
        <v>1.5</v>
      </c>
      <c r="E5" s="23" t="n">
        <v>1</v>
      </c>
      <c r="F5" s="23" t="n">
        <v>0.5</v>
      </c>
      <c r="G5" s="23" t="n">
        <v>0</v>
      </c>
      <c r="H5" s="24" t="n">
        <f aca="false">SUM(D5:G5)</f>
        <v>3</v>
      </c>
    </row>
    <row r="6" customFormat="false" ht="26.85" hidden="false" customHeight="false" outlineLevel="0" collapsed="false">
      <c r="A6" s="10" t="n">
        <v>2</v>
      </c>
      <c r="B6" s="22" t="s">
        <v>51</v>
      </c>
      <c r="C6" s="4" t="s">
        <v>52</v>
      </c>
      <c r="D6" s="23" t="n">
        <v>0.5</v>
      </c>
      <c r="E6" s="23" t="n">
        <v>2.5</v>
      </c>
      <c r="F6" s="23" t="n">
        <v>0</v>
      </c>
      <c r="G6" s="23" t="n">
        <v>0</v>
      </c>
      <c r="H6" s="24" t="n">
        <f aca="false">SUM(D6:G6)</f>
        <v>3</v>
      </c>
    </row>
    <row r="7" customFormat="false" ht="26.85" hidden="false" customHeight="false" outlineLevel="0" collapsed="false">
      <c r="A7" s="10" t="n">
        <v>3</v>
      </c>
      <c r="B7" s="22" t="s">
        <v>53</v>
      </c>
      <c r="C7" s="4" t="s">
        <v>54</v>
      </c>
      <c r="D7" s="23" t="n">
        <v>0.5</v>
      </c>
      <c r="E7" s="23" t="n">
        <v>3</v>
      </c>
      <c r="F7" s="23" t="n">
        <v>0</v>
      </c>
      <c r="G7" s="23" t="n">
        <v>0</v>
      </c>
      <c r="H7" s="24" t="n">
        <f aca="false">SUM(D7:G7)</f>
        <v>3.5</v>
      </c>
    </row>
    <row r="8" customFormat="false" ht="26.85" hidden="false" customHeight="false" outlineLevel="0" collapsed="false">
      <c r="A8" s="10" t="n">
        <v>4</v>
      </c>
      <c r="B8" s="25" t="s">
        <v>55</v>
      </c>
      <c r="C8" s="4" t="s">
        <v>56</v>
      </c>
      <c r="D8" s="23" t="n">
        <v>0.5</v>
      </c>
      <c r="E8" s="23" t="n">
        <v>3</v>
      </c>
      <c r="F8" s="23" t="n">
        <v>0.5</v>
      </c>
      <c r="G8" s="23" t="n">
        <v>0</v>
      </c>
      <c r="H8" s="24" t="n">
        <f aca="false">SUM(D8:G8)</f>
        <v>4</v>
      </c>
    </row>
    <row r="9" customFormat="false" ht="15" hidden="false" customHeight="false" outlineLevel="0" collapsed="false">
      <c r="A9" s="10" t="n">
        <v>5</v>
      </c>
      <c r="B9" s="22" t="s">
        <v>57</v>
      </c>
      <c r="C9" s="3" t="s">
        <v>58</v>
      </c>
      <c r="D9" s="23" t="n">
        <v>0.5</v>
      </c>
      <c r="E9" s="23" t="n">
        <v>1.5</v>
      </c>
      <c r="F9" s="23" t="n">
        <v>0</v>
      </c>
      <c r="G9" s="23" t="n">
        <v>0</v>
      </c>
      <c r="H9" s="24" t="n">
        <f aca="false">SUM(D9:G9)</f>
        <v>2</v>
      </c>
    </row>
    <row r="10" customFormat="false" ht="26.85" hidden="false" customHeight="false" outlineLevel="0" collapsed="false">
      <c r="A10" s="10" t="n">
        <v>6</v>
      </c>
      <c r="B10" s="22" t="s">
        <v>59</v>
      </c>
      <c r="C10" s="4" t="s">
        <v>60</v>
      </c>
      <c r="D10" s="23" t="n">
        <v>0.5</v>
      </c>
      <c r="E10" s="23" t="n">
        <v>0</v>
      </c>
      <c r="F10" s="23" t="n">
        <v>2</v>
      </c>
      <c r="G10" s="23" t="n">
        <v>0</v>
      </c>
      <c r="H10" s="24" t="n">
        <f aca="false">SUM(D10:G10)</f>
        <v>2.5</v>
      </c>
    </row>
    <row r="11" customFormat="false" ht="15" hidden="false" customHeight="false" outlineLevel="0" collapsed="false">
      <c r="A11" s="10" t="n">
        <v>7</v>
      </c>
      <c r="B11" s="22" t="s">
        <v>61</v>
      </c>
      <c r="C11" s="4" t="s">
        <v>62</v>
      </c>
      <c r="D11" s="23" t="n">
        <v>0</v>
      </c>
      <c r="E11" s="23" t="n">
        <v>0.5</v>
      </c>
      <c r="F11" s="23" t="n">
        <v>3</v>
      </c>
      <c r="G11" s="23" t="n">
        <v>0</v>
      </c>
      <c r="H11" s="24" t="n">
        <f aca="false">SUM(D11:G11)</f>
        <v>3.5</v>
      </c>
    </row>
    <row r="12" customFormat="false" ht="15" hidden="false" customHeight="false" outlineLevel="0" collapsed="false">
      <c r="A12" s="10" t="n">
        <v>8</v>
      </c>
      <c r="B12" s="22" t="s">
        <v>63</v>
      </c>
      <c r="C12" s="3" t="s">
        <v>64</v>
      </c>
      <c r="D12" s="23" t="n">
        <v>0</v>
      </c>
      <c r="E12" s="23" t="n">
        <v>0</v>
      </c>
      <c r="F12" s="23" t="n">
        <v>1.5</v>
      </c>
      <c r="G12" s="23" t="n">
        <v>0</v>
      </c>
      <c r="H12" s="24" t="n">
        <f aca="false">SUM(D12:G12)</f>
        <v>1.5</v>
      </c>
    </row>
    <row r="13" customFormat="false" ht="15" hidden="false" customHeight="false" outlineLevel="0" collapsed="false">
      <c r="A13" s="10" t="n">
        <v>9</v>
      </c>
      <c r="B13" s="22" t="s">
        <v>65</v>
      </c>
      <c r="C13" s="3" t="s">
        <v>66</v>
      </c>
      <c r="D13" s="23" t="n">
        <v>0</v>
      </c>
      <c r="E13" s="23" t="n">
        <v>0.5</v>
      </c>
      <c r="F13" s="23" t="n">
        <v>0.5</v>
      </c>
      <c r="G13" s="23" t="n">
        <v>1</v>
      </c>
      <c r="H13" s="24" t="n">
        <f aca="false">SUM(D13:G13)</f>
        <v>2</v>
      </c>
    </row>
    <row r="14" customFormat="false" ht="15" hidden="false" customHeight="false" outlineLevel="0" collapsed="false">
      <c r="A14" s="10" t="n">
        <v>10</v>
      </c>
      <c r="B14" s="22" t="s">
        <v>67</v>
      </c>
      <c r="C14" s="4" t="s">
        <v>68</v>
      </c>
      <c r="D14" s="23" t="n">
        <v>0</v>
      </c>
      <c r="E14" s="23" t="n">
        <v>0</v>
      </c>
      <c r="F14" s="23" t="n">
        <v>0</v>
      </c>
      <c r="G14" s="23" t="n">
        <v>1</v>
      </c>
      <c r="H14" s="24" t="n">
        <f aca="false">SUM(D14:G14)</f>
        <v>1</v>
      </c>
    </row>
    <row r="15" customFormat="false" ht="15" hidden="false" customHeight="false" outlineLevel="0" collapsed="false">
      <c r="A15" s="10" t="n">
        <v>11</v>
      </c>
      <c r="B15" s="22" t="s">
        <v>69</v>
      </c>
      <c r="C15" s="4" t="s">
        <v>70</v>
      </c>
      <c r="D15" s="23" t="n">
        <v>2</v>
      </c>
      <c r="E15" s="23" t="n">
        <v>0</v>
      </c>
      <c r="F15" s="23" t="n">
        <v>0</v>
      </c>
      <c r="G15" s="23" t="n">
        <v>0</v>
      </c>
      <c r="H15" s="24" t="n">
        <f aca="false">SUM(D15:G15)</f>
        <v>2</v>
      </c>
    </row>
    <row r="16" customFormat="false" ht="15" hidden="false" customHeight="true" outlineLevel="0" collapsed="false">
      <c r="A16" s="14" t="s">
        <v>31</v>
      </c>
      <c r="B16" s="14"/>
      <c r="C16" s="14"/>
      <c r="D16" s="26" t="n">
        <f aca="false">SUM(D5:D15)</f>
        <v>6</v>
      </c>
      <c r="E16" s="26" t="n">
        <f aca="false">SUM(E5:E15)</f>
        <v>12</v>
      </c>
      <c r="F16" s="26" t="n">
        <f aca="false">SUM(F5:F15)</f>
        <v>8</v>
      </c>
      <c r="G16" s="26" t="n">
        <f aca="false">SUM(G5:G15)</f>
        <v>2</v>
      </c>
      <c r="H16" s="26" t="n">
        <f aca="false">SUM(H5:H15)</f>
        <v>28</v>
      </c>
    </row>
  </sheetData>
  <mergeCells count="2">
    <mergeCell ref="A1:H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30" hidden="false" customHeight="true" outlineLevel="0" collapsed="false">
      <c r="A1" s="20" t="s">
        <v>71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7" t="s">
        <v>72</v>
      </c>
    </row>
    <row r="4" customFormat="false" ht="15" hidden="false" customHeight="false" outlineLevel="0" collapsed="false">
      <c r="A4" s="9" t="s">
        <v>73</v>
      </c>
      <c r="B4" s="9" t="s">
        <v>74</v>
      </c>
      <c r="C4" s="8" t="s">
        <v>75</v>
      </c>
      <c r="D4" s="9" t="s">
        <v>76</v>
      </c>
      <c r="E4" s="9" t="s">
        <v>20</v>
      </c>
      <c r="F4" s="9" t="s">
        <v>21</v>
      </c>
    </row>
    <row r="5" customFormat="false" ht="15" hidden="false" customHeight="false" outlineLevel="0" collapsed="false">
      <c r="A5" s="11" t="s">
        <v>45</v>
      </c>
      <c r="B5" s="3" t="s">
        <v>77</v>
      </c>
      <c r="C5" s="28" t="n">
        <f aca="false">WBS!D16</f>
        <v>6</v>
      </c>
      <c r="D5" s="29" t="n">
        <v>15000000</v>
      </c>
      <c r="E5" s="30" t="n">
        <f aca="false">C5*D5</f>
        <v>90000000</v>
      </c>
      <c r="F5" s="4" t="s">
        <v>78</v>
      </c>
    </row>
    <row r="6" customFormat="false" ht="15" hidden="false" customHeight="false" outlineLevel="0" collapsed="false">
      <c r="A6" s="11" t="s">
        <v>46</v>
      </c>
      <c r="B6" s="4" t="s">
        <v>79</v>
      </c>
      <c r="C6" s="28" t="n">
        <f aca="false">WBS!E16</f>
        <v>12</v>
      </c>
      <c r="D6" s="29" t="n">
        <v>12500000</v>
      </c>
      <c r="E6" s="30" t="n">
        <f aca="false">C6*D6</f>
        <v>150000000</v>
      </c>
      <c r="F6" s="4" t="s">
        <v>80</v>
      </c>
    </row>
    <row r="7" customFormat="false" ht="15" hidden="false" customHeight="false" outlineLevel="0" collapsed="false">
      <c r="A7" s="11" t="s">
        <v>47</v>
      </c>
      <c r="B7" s="4" t="s">
        <v>81</v>
      </c>
      <c r="C7" s="28" t="n">
        <f aca="false">WBS!F16</f>
        <v>8</v>
      </c>
      <c r="D7" s="29" t="n">
        <v>9500000</v>
      </c>
      <c r="E7" s="30" t="n">
        <f aca="false">C7*D7</f>
        <v>76000000</v>
      </c>
      <c r="F7" s="4" t="s">
        <v>82</v>
      </c>
    </row>
    <row r="8" customFormat="false" ht="15" hidden="false" customHeight="false" outlineLevel="0" collapsed="false">
      <c r="A8" s="11" t="s">
        <v>48</v>
      </c>
      <c r="B8" s="3" t="s">
        <v>83</v>
      </c>
      <c r="C8" s="28" t="n">
        <f aca="false">WBS!G16</f>
        <v>2</v>
      </c>
      <c r="D8" s="29" t="n">
        <v>7000000</v>
      </c>
      <c r="E8" s="30" t="n">
        <f aca="false">C8*D8</f>
        <v>14000000</v>
      </c>
      <c r="F8" s="4" t="s">
        <v>84</v>
      </c>
    </row>
    <row r="9" customFormat="false" ht="15" hidden="false" customHeight="false" outlineLevel="0" collapsed="false">
      <c r="A9" s="14" t="s">
        <v>85</v>
      </c>
      <c r="B9" s="15"/>
      <c r="C9" s="26" t="n">
        <f aca="false">SUM(C5:C8)</f>
        <v>28</v>
      </c>
      <c r="D9" s="15"/>
      <c r="E9" s="31" t="n">
        <f aca="false">SUM(E5:E8)</f>
        <v>330000000</v>
      </c>
      <c r="F9" s="15"/>
    </row>
    <row r="11" customFormat="false" ht="15" hidden="false" customHeight="false" outlineLevel="0" collapsed="false">
      <c r="A11" s="9" t="s">
        <v>18</v>
      </c>
      <c r="B11" s="9" t="s">
        <v>86</v>
      </c>
      <c r="C11" s="9" t="s">
        <v>87</v>
      </c>
      <c r="D11" s="9" t="s">
        <v>88</v>
      </c>
      <c r="E11" s="9" t="s">
        <v>20</v>
      </c>
      <c r="F11" s="9" t="s">
        <v>21</v>
      </c>
    </row>
    <row r="12" customFormat="false" ht="15" hidden="false" customHeight="false" outlineLevel="0" collapsed="false">
      <c r="A12" s="32" t="s">
        <v>23</v>
      </c>
      <c r="B12" s="4" t="s">
        <v>89</v>
      </c>
      <c r="C12" s="33" t="n">
        <v>2</v>
      </c>
      <c r="D12" s="29" t="n">
        <v>4000000</v>
      </c>
      <c r="E12" s="30" t="n">
        <f aca="false">C12*D12</f>
        <v>8000000</v>
      </c>
      <c r="F12" s="4" t="s">
        <v>90</v>
      </c>
    </row>
    <row r="13" customFormat="false" ht="15" hidden="false" customHeight="false" outlineLevel="0" collapsed="false">
      <c r="A13" s="32" t="s">
        <v>23</v>
      </c>
      <c r="B13" s="4" t="s">
        <v>91</v>
      </c>
      <c r="C13" s="33" t="n">
        <v>4</v>
      </c>
      <c r="D13" s="29" t="n">
        <v>1500000</v>
      </c>
      <c r="E13" s="30" t="n">
        <f aca="false">C13*D13</f>
        <v>6000000</v>
      </c>
      <c r="F13" s="4" t="s">
        <v>92</v>
      </c>
    </row>
    <row r="14" customFormat="false" ht="15" hidden="false" customHeight="false" outlineLevel="0" collapsed="false">
      <c r="A14" s="14" t="s">
        <v>93</v>
      </c>
      <c r="B14" s="15"/>
      <c r="C14" s="15"/>
      <c r="D14" s="15"/>
      <c r="E14" s="31" t="n">
        <f aca="false">SUM(E12:E13)</f>
        <v>14000000</v>
      </c>
      <c r="F14" s="15"/>
    </row>
    <row r="16" customFormat="false" ht="15" hidden="false" customHeight="false" outlineLevel="0" collapsed="false">
      <c r="A16" s="9" t="s">
        <v>18</v>
      </c>
      <c r="B16" s="9" t="s">
        <v>94</v>
      </c>
      <c r="C16" s="8"/>
      <c r="D16" s="8"/>
      <c r="E16" s="9" t="s">
        <v>20</v>
      </c>
      <c r="F16" s="9" t="s">
        <v>21</v>
      </c>
    </row>
    <row r="17" customFormat="false" ht="15" hidden="false" customHeight="true" outlineLevel="0" collapsed="false">
      <c r="A17" s="11" t="s">
        <v>95</v>
      </c>
      <c r="B17" s="4" t="s">
        <v>96</v>
      </c>
      <c r="C17" s="4"/>
      <c r="D17" s="4"/>
      <c r="E17" s="34" t="n">
        <f aca="false">E9+E14</f>
        <v>344000000</v>
      </c>
      <c r="F17" s="3"/>
    </row>
    <row r="18" customFormat="false" ht="15" hidden="false" customHeight="true" outlineLevel="0" collapsed="false">
      <c r="A18" s="35" t="s">
        <v>25</v>
      </c>
      <c r="B18" s="36" t="s">
        <v>26</v>
      </c>
      <c r="C18" s="36"/>
      <c r="D18" s="36"/>
      <c r="E18" s="37" t="n">
        <v>-49000000</v>
      </c>
      <c r="F18" s="36" t="s">
        <v>97</v>
      </c>
    </row>
    <row r="19" customFormat="false" ht="15" hidden="false" customHeight="true" outlineLevel="0" collapsed="false">
      <c r="A19" s="14" t="s">
        <v>27</v>
      </c>
      <c r="B19" s="38" t="s">
        <v>98</v>
      </c>
      <c r="C19" s="38"/>
      <c r="D19" s="38"/>
      <c r="E19" s="31" t="n">
        <f aca="false">E17+E18</f>
        <v>295000000</v>
      </c>
      <c r="F19" s="15"/>
    </row>
    <row r="20" customFormat="false" ht="15" hidden="false" customHeight="true" outlineLevel="0" collapsed="false">
      <c r="A20" s="11" t="s">
        <v>29</v>
      </c>
      <c r="B20" s="3" t="s">
        <v>30</v>
      </c>
      <c r="C20" s="3"/>
      <c r="D20" s="3"/>
      <c r="E20" s="34" t="n">
        <f aca="false">ROUND(E19*E22,0)</f>
        <v>29500000</v>
      </c>
      <c r="F20" s="3"/>
    </row>
    <row r="21" customFormat="false" ht="15" hidden="false" customHeight="true" outlineLevel="0" collapsed="false">
      <c r="A21" s="14" t="s">
        <v>31</v>
      </c>
      <c r="B21" s="15" t="s">
        <v>32</v>
      </c>
      <c r="C21" s="15"/>
      <c r="D21" s="15"/>
      <c r="E21" s="31" t="n">
        <f aca="false">E19+E20</f>
        <v>324500000</v>
      </c>
      <c r="F21" s="15"/>
    </row>
    <row r="22" customFormat="false" ht="15" hidden="false" customHeight="false" outlineLevel="0" collapsed="false">
      <c r="D22" s="39" t="s">
        <v>99</v>
      </c>
      <c r="E22" s="40" t="n">
        <v>0.1</v>
      </c>
    </row>
  </sheetData>
  <mergeCells count="6">
    <mergeCell ref="A1:F1"/>
    <mergeCell ref="B17:D17"/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6" min="3" style="0" width="8"/>
    <col collapsed="false" customWidth="true" hidden="false" outlineLevel="0" max="7" min="7" style="0" width="44"/>
  </cols>
  <sheetData>
    <row r="1" customFormat="false" ht="30" hidden="false" customHeight="true" outlineLevel="0" collapsed="false">
      <c r="A1" s="20" t="s">
        <v>100</v>
      </c>
      <c r="B1" s="20"/>
      <c r="C1" s="20"/>
      <c r="D1" s="20"/>
      <c r="E1" s="20"/>
      <c r="F1" s="20"/>
      <c r="G1" s="20"/>
    </row>
    <row r="3" customFormat="false" ht="15" hidden="false" customHeight="false" outlineLevel="0" collapsed="false">
      <c r="A3" s="8" t="s">
        <v>17</v>
      </c>
      <c r="B3" s="9" t="s">
        <v>43</v>
      </c>
      <c r="C3" s="8" t="s">
        <v>101</v>
      </c>
      <c r="D3" s="8" t="s">
        <v>102</v>
      </c>
      <c r="E3" s="8" t="s">
        <v>103</v>
      </c>
      <c r="F3" s="8" t="s">
        <v>104</v>
      </c>
      <c r="G3" s="9" t="s">
        <v>105</v>
      </c>
    </row>
    <row r="4" customFormat="false" ht="15" hidden="false" customHeight="false" outlineLevel="0" collapsed="false">
      <c r="A4" s="10" t="n">
        <v>1</v>
      </c>
      <c r="B4" s="4" t="s">
        <v>106</v>
      </c>
      <c r="C4" s="41"/>
      <c r="D4" s="3"/>
      <c r="E4" s="3"/>
      <c r="F4" s="3"/>
      <c r="G4" s="4" t="s">
        <v>107</v>
      </c>
    </row>
    <row r="5" customFormat="false" ht="15" hidden="false" customHeight="false" outlineLevel="0" collapsed="false">
      <c r="A5" s="10" t="n">
        <v>2</v>
      </c>
      <c r="B5" s="4" t="s">
        <v>51</v>
      </c>
      <c r="C5" s="41"/>
      <c r="D5" s="41"/>
      <c r="E5" s="3"/>
      <c r="F5" s="3"/>
      <c r="G5" s="4" t="s">
        <v>108</v>
      </c>
    </row>
    <row r="6" customFormat="false" ht="15" hidden="false" customHeight="false" outlineLevel="0" collapsed="false">
      <c r="A6" s="10" t="n">
        <v>3</v>
      </c>
      <c r="B6" s="4" t="s">
        <v>109</v>
      </c>
      <c r="C6" s="3"/>
      <c r="D6" s="41"/>
      <c r="E6" s="41"/>
      <c r="F6" s="3"/>
      <c r="G6" s="4" t="s">
        <v>110</v>
      </c>
    </row>
    <row r="7" customFormat="false" ht="15" hidden="false" customHeight="false" outlineLevel="0" collapsed="false">
      <c r="A7" s="10" t="n">
        <v>4</v>
      </c>
      <c r="B7" s="3" t="s">
        <v>55</v>
      </c>
      <c r="C7" s="3"/>
      <c r="D7" s="41"/>
      <c r="E7" s="41"/>
      <c r="F7" s="3"/>
      <c r="G7" s="3" t="s">
        <v>111</v>
      </c>
    </row>
    <row r="8" customFormat="false" ht="15" hidden="false" customHeight="false" outlineLevel="0" collapsed="false">
      <c r="A8" s="10" t="n">
        <v>5</v>
      </c>
      <c r="B8" s="4" t="s">
        <v>57</v>
      </c>
      <c r="C8" s="3"/>
      <c r="D8" s="3"/>
      <c r="E8" s="41"/>
      <c r="F8" s="3"/>
      <c r="G8" s="4" t="s">
        <v>112</v>
      </c>
    </row>
    <row r="9" customFormat="false" ht="15" hidden="false" customHeight="false" outlineLevel="0" collapsed="false">
      <c r="A9" s="10" t="n">
        <v>6</v>
      </c>
      <c r="B9" s="4" t="s">
        <v>59</v>
      </c>
      <c r="C9" s="3"/>
      <c r="D9" s="3"/>
      <c r="E9" s="41"/>
      <c r="F9" s="41"/>
      <c r="G9" s="4" t="s">
        <v>113</v>
      </c>
    </row>
    <row r="10" customFormat="false" ht="15" hidden="false" customHeight="false" outlineLevel="0" collapsed="false">
      <c r="A10" s="10" t="n">
        <v>7</v>
      </c>
      <c r="B10" s="4" t="s">
        <v>61</v>
      </c>
      <c r="C10" s="3"/>
      <c r="D10" s="41"/>
      <c r="E10" s="41"/>
      <c r="F10" s="3"/>
      <c r="G10" s="4" t="s">
        <v>114</v>
      </c>
    </row>
    <row r="11" customFormat="false" ht="15" hidden="false" customHeight="false" outlineLevel="0" collapsed="false">
      <c r="A11" s="10" t="n">
        <v>8</v>
      </c>
      <c r="B11" s="4" t="s">
        <v>63</v>
      </c>
      <c r="C11" s="3"/>
      <c r="D11" s="3"/>
      <c r="E11" s="41"/>
      <c r="F11" s="3"/>
      <c r="G11" s="3" t="s">
        <v>115</v>
      </c>
    </row>
    <row r="12" customFormat="false" ht="15" hidden="false" customHeight="false" outlineLevel="0" collapsed="false">
      <c r="A12" s="10" t="n">
        <v>9</v>
      </c>
      <c r="B12" s="4" t="s">
        <v>116</v>
      </c>
      <c r="C12" s="3"/>
      <c r="D12" s="3"/>
      <c r="E12" s="3"/>
      <c r="F12" s="41"/>
      <c r="G12" s="4" t="s">
        <v>117</v>
      </c>
    </row>
    <row r="13" customFormat="false" ht="15" hidden="false" customHeight="false" outlineLevel="0" collapsed="false">
      <c r="A13" s="10" t="n">
        <v>10</v>
      </c>
      <c r="B13" s="4" t="s">
        <v>118</v>
      </c>
      <c r="C13" s="3"/>
      <c r="D13" s="3"/>
      <c r="E13" s="3"/>
      <c r="F13" s="41"/>
      <c r="G13" s="4" t="s">
        <v>119</v>
      </c>
    </row>
    <row r="14" customFormat="false" ht="15" hidden="false" customHeight="false" outlineLevel="0" collapsed="false">
      <c r="A14" s="10" t="n">
        <v>11</v>
      </c>
      <c r="B14" s="4" t="s">
        <v>120</v>
      </c>
      <c r="C14" s="41"/>
      <c r="D14" s="41"/>
      <c r="E14" s="41"/>
      <c r="F14" s="41"/>
      <c r="G14" s="4" t="s">
        <v>121</v>
      </c>
    </row>
    <row r="16" customFormat="false" ht="15" hidden="false" customHeight="false" outlineLevel="0" collapsed="false">
      <c r="A16" s="21" t="s">
        <v>122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30" hidden="false" customHeight="true" outlineLevel="0" collapsed="false">
      <c r="A1" s="20" t="s">
        <v>123</v>
      </c>
      <c r="B1" s="20"/>
      <c r="C1" s="20"/>
      <c r="D1" s="20"/>
      <c r="E1" s="20"/>
      <c r="F1" s="20"/>
    </row>
    <row r="3" customFormat="false" ht="15" hidden="false" customHeight="false" outlineLevel="0" collapsed="false">
      <c r="A3" s="9" t="s">
        <v>124</v>
      </c>
      <c r="B3" s="9" t="s">
        <v>125</v>
      </c>
      <c r="C3" s="9" t="s">
        <v>126</v>
      </c>
      <c r="D3" s="9" t="s">
        <v>127</v>
      </c>
      <c r="E3" s="9" t="s">
        <v>20</v>
      </c>
      <c r="F3" s="9" t="s">
        <v>21</v>
      </c>
    </row>
    <row r="4" customFormat="false" ht="15" hidden="false" customHeight="false" outlineLevel="0" collapsed="false">
      <c r="A4" s="10" t="s">
        <v>128</v>
      </c>
      <c r="B4" s="3" t="s">
        <v>129</v>
      </c>
      <c r="C4" s="23" t="n">
        <v>2</v>
      </c>
      <c r="D4" s="23" t="n">
        <v>0</v>
      </c>
      <c r="E4" s="30" t="n">
        <f aca="false">C4*'인건비 산출'!$D$6+D4*'인건비 산출'!$D$7</f>
        <v>25000000</v>
      </c>
      <c r="F4" s="3" t="s">
        <v>28</v>
      </c>
    </row>
    <row r="5" customFormat="false" ht="15" hidden="false" customHeight="false" outlineLevel="0" collapsed="false">
      <c r="A5" s="10" t="s">
        <v>130</v>
      </c>
      <c r="B5" s="4" t="s">
        <v>131</v>
      </c>
      <c r="C5" s="23" t="n">
        <v>1</v>
      </c>
      <c r="D5" s="23" t="n">
        <v>1.5</v>
      </c>
      <c r="E5" s="30" t="n">
        <f aca="false">C5*'인건비 산출'!$D$6+D5*'인건비 산출'!$D$7</f>
        <v>26750000</v>
      </c>
      <c r="F5" s="3" t="s">
        <v>28</v>
      </c>
    </row>
    <row r="6" customFormat="false" ht="15" hidden="false" customHeight="false" outlineLevel="0" collapsed="false">
      <c r="A6" s="10" t="s">
        <v>132</v>
      </c>
      <c r="B6" s="4" t="s">
        <v>133</v>
      </c>
      <c r="C6" s="3"/>
      <c r="D6" s="3"/>
      <c r="E6" s="29" t="n">
        <v>4500000</v>
      </c>
      <c r="F6" s="4" t="s">
        <v>134</v>
      </c>
    </row>
    <row r="8" customFormat="false" ht="15" hidden="false" customHeight="true" outlineLevel="0" collapsed="false">
      <c r="A8" s="9" t="s">
        <v>135</v>
      </c>
      <c r="B8" s="42" t="s">
        <v>136</v>
      </c>
      <c r="C8" s="42"/>
      <c r="D8" s="42"/>
      <c r="E8" s="42"/>
      <c r="F8" s="42"/>
    </row>
    <row r="9" customFormat="false" ht="15" hidden="false" customHeight="true" outlineLevel="0" collapsed="false">
      <c r="A9" s="10" t="s">
        <v>55</v>
      </c>
      <c r="B9" s="3" t="s">
        <v>137</v>
      </c>
      <c r="C9" s="3"/>
      <c r="D9" s="3"/>
      <c r="E9" s="3"/>
      <c r="F9" s="3"/>
    </row>
    <row r="10" customFormat="false" ht="15" hidden="false" customHeight="true" outlineLevel="0" collapsed="false">
      <c r="A10" s="32" t="s">
        <v>138</v>
      </c>
      <c r="B10" s="3" t="s">
        <v>139</v>
      </c>
      <c r="C10" s="3"/>
      <c r="D10" s="3"/>
      <c r="E10" s="3"/>
      <c r="F10" s="3"/>
    </row>
    <row r="11" customFormat="false" ht="15" hidden="false" customHeight="true" outlineLevel="0" collapsed="false">
      <c r="A11" s="32" t="s">
        <v>140</v>
      </c>
      <c r="B11" s="3" t="s">
        <v>141</v>
      </c>
      <c r="C11" s="3"/>
      <c r="D11" s="3"/>
      <c r="E11" s="3"/>
      <c r="F11" s="3"/>
    </row>
    <row r="12" customFormat="false" ht="15" hidden="false" customHeight="true" outlineLevel="0" collapsed="false">
      <c r="A12" s="32" t="s">
        <v>142</v>
      </c>
      <c r="B12" s="4" t="s">
        <v>143</v>
      </c>
      <c r="C12" s="4"/>
      <c r="D12" s="4"/>
      <c r="E12" s="4"/>
      <c r="F12" s="4"/>
    </row>
    <row r="13" customFormat="false" ht="15" hidden="false" customHeight="true" outlineLevel="0" collapsed="false">
      <c r="A13" s="32" t="s">
        <v>144</v>
      </c>
      <c r="B13" s="4" t="s">
        <v>145</v>
      </c>
      <c r="C13" s="4"/>
      <c r="D13" s="4"/>
      <c r="E13" s="4"/>
      <c r="F13" s="4"/>
    </row>
    <row r="15" customFormat="false" ht="15" hidden="false" customHeight="true" outlineLevel="0" collapsed="false">
      <c r="A15" s="8" t="s">
        <v>17</v>
      </c>
      <c r="B15" s="42" t="s">
        <v>146</v>
      </c>
      <c r="C15" s="42"/>
      <c r="D15" s="42"/>
      <c r="E15" s="42"/>
      <c r="F15" s="42"/>
    </row>
    <row r="16" customFormat="false" ht="15" hidden="false" customHeight="true" outlineLevel="0" collapsed="false">
      <c r="A16" s="10" t="n">
        <v>1</v>
      </c>
      <c r="B16" s="4" t="s">
        <v>147</v>
      </c>
      <c r="C16" s="4"/>
      <c r="D16" s="4"/>
      <c r="E16" s="4"/>
      <c r="F16" s="4"/>
    </row>
    <row r="17" customFormat="false" ht="15" hidden="false" customHeight="true" outlineLevel="0" collapsed="false">
      <c r="A17" s="10" t="n">
        <v>2</v>
      </c>
      <c r="B17" s="3" t="s">
        <v>148</v>
      </c>
      <c r="C17" s="3"/>
      <c r="D17" s="3"/>
      <c r="E17" s="3"/>
      <c r="F17" s="3"/>
    </row>
    <row r="18" customFormat="false" ht="15" hidden="false" customHeight="true" outlineLevel="0" collapsed="false">
      <c r="A18" s="10" t="n">
        <v>3</v>
      </c>
      <c r="B18" s="4" t="s">
        <v>149</v>
      </c>
      <c r="C18" s="4"/>
      <c r="D18" s="4"/>
      <c r="E18" s="4"/>
      <c r="F18" s="4"/>
    </row>
    <row r="19" customFormat="false" ht="15" hidden="false" customHeight="true" outlineLevel="0" collapsed="false">
      <c r="A19" s="10" t="n">
        <v>4</v>
      </c>
      <c r="B19" s="4" t="s">
        <v>150</v>
      </c>
      <c r="C19" s="4"/>
      <c r="D19" s="4"/>
      <c r="E19" s="4"/>
      <c r="F19" s="4"/>
    </row>
    <row r="20" customFormat="false" ht="15" hidden="false" customHeight="true" outlineLevel="0" collapsed="false">
      <c r="A20" s="10" t="n">
        <v>5</v>
      </c>
      <c r="B20" s="4" t="s">
        <v>151</v>
      </c>
      <c r="C20" s="4"/>
      <c r="D20" s="4"/>
      <c r="E20" s="4"/>
      <c r="F20" s="4"/>
    </row>
    <row r="21" customFormat="false" ht="15" hidden="false" customHeight="true" outlineLevel="0" collapsed="false">
      <c r="A21" s="10" t="n">
        <v>6</v>
      </c>
      <c r="B21" s="4" t="s">
        <v>152</v>
      </c>
      <c r="C21" s="4"/>
      <c r="D21" s="4"/>
      <c r="E21" s="4"/>
      <c r="F21" s="4"/>
    </row>
    <row r="23" customFormat="false" ht="15" hidden="false" customHeight="true" outlineLevel="0" collapsed="false">
      <c r="A23" s="8" t="s">
        <v>153</v>
      </c>
      <c r="B23" s="42" t="s">
        <v>154</v>
      </c>
      <c r="C23" s="42"/>
      <c r="D23" s="42"/>
      <c r="E23" s="42"/>
      <c r="F23" s="42"/>
    </row>
    <row r="24" customFormat="false" ht="15" hidden="false" customHeight="true" outlineLevel="0" collapsed="false">
      <c r="A24" s="10" t="s">
        <v>155</v>
      </c>
      <c r="B24" s="3" t="s">
        <v>156</v>
      </c>
      <c r="C24" s="3"/>
      <c r="D24" s="3"/>
      <c r="E24" s="3"/>
      <c r="F24" s="3"/>
    </row>
    <row r="25" customFormat="false" ht="15" hidden="false" customHeight="true" outlineLevel="0" collapsed="false">
      <c r="A25" s="10" t="s">
        <v>157</v>
      </c>
      <c r="B25" s="3" t="s">
        <v>158</v>
      </c>
      <c r="C25" s="3"/>
      <c r="D25" s="3"/>
      <c r="E25" s="3"/>
      <c r="F25" s="3"/>
    </row>
    <row r="26" customFormat="false" ht="15" hidden="false" customHeight="true" outlineLevel="0" collapsed="false">
      <c r="A26" s="32" t="s">
        <v>21</v>
      </c>
      <c r="B26" s="3" t="s">
        <v>159</v>
      </c>
      <c r="C26" s="3"/>
      <c r="D26" s="3"/>
      <c r="E26" s="3"/>
      <c r="F26" s="3"/>
    </row>
  </sheetData>
  <mergeCells count="18">
    <mergeCell ref="A1:F1"/>
    <mergeCell ref="B8:F8"/>
    <mergeCell ref="B9:F9"/>
    <mergeCell ref="B10:F10"/>
    <mergeCell ref="B11:F11"/>
    <mergeCell ref="B12:F12"/>
    <mergeCell ref="B13:F13"/>
    <mergeCell ref="B15:F15"/>
    <mergeCell ref="B16:F16"/>
    <mergeCell ref="B17:F17"/>
    <mergeCell ref="B18:F18"/>
    <mergeCell ref="B19:F19"/>
    <mergeCell ref="B20:F20"/>
    <mergeCell ref="B21:F21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2026-10-21T08:04:33Z</dcterms:created>
  <dc:creator>openpyxl</dc:creator>
  <dc:description/>
  <dc:language>en-US</dc:language>
  <cp:lastModifiedBy/>
  <dcterms:modified xsi:type="dcterms:W3CDTF">2026-10-21T08:04:33Z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