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98" firstSheet="0" activeTab="0" autoFilterDateGrouping="1"/>
  </bookViews>
  <sheets>
    <sheet xmlns:r="http://schemas.openxmlformats.org/officeDocument/2006/relationships" name="AI 인프라 구축(적정)" sheetId="1" state="visible" r:id="rId1"/>
  </sheets>
  <definedNames>
    <definedName name="_xlnm.Print_Area" localSheetId="0">'AI 인프라 구축(적정)'!$A$1:$K$89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yyyy&quot;년&quot;\ m&quot;월&quot;\ d&quot;일&quot;"/>
    <numFmt numFmtId="166" formatCode="_-* #,##0.00_-;\-* #,##0.00_-;_-* &quot;-&quot;??_-;_-@_-"/>
    <numFmt numFmtId="167" formatCode="0_);[Red]\(0\)"/>
    <numFmt numFmtId="168" formatCode="0.00_);[Red]\(0.00\)"/>
    <numFmt numFmtId="169" formatCode="0.0"/>
  </numFmts>
  <fonts count="74">
    <font>
      <name val="돋움"/>
      <charset val="129"/>
      <family val="3"/>
      <sz val="11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굴림"/>
      <charset val="129"/>
      <family val="3"/>
      <sz val="10"/>
    </font>
    <font>
      <name val="새굴림"/>
      <charset val="129"/>
      <family val="1"/>
      <sz val="10"/>
    </font>
    <font>
      <name val="새굴림"/>
      <charset val="129"/>
      <family val="1"/>
      <sz val="11"/>
    </font>
    <font>
      <name val="새굴림"/>
      <charset val="129"/>
      <family val="1"/>
      <sz val="8"/>
    </font>
    <font>
      <name val="새굴림"/>
      <charset val="129"/>
      <family val="1"/>
      <sz val="9"/>
    </font>
    <font>
      <name val="새굴림"/>
      <charset val="129"/>
      <family val="1"/>
      <b val="1"/>
      <sz val="9"/>
    </font>
    <font>
      <name val="돋움"/>
      <charset val="129"/>
      <family val="3"/>
      <sz val="10"/>
    </font>
    <font>
      <name val="Verdana"/>
      <family val="2"/>
      <sz val="10"/>
    </font>
    <font>
      <name val="산돌고딕B"/>
      <charset val="129"/>
      <family val="1"/>
      <sz val="22"/>
    </font>
    <font>
      <name val="산돌고딕B"/>
      <charset val="129"/>
      <family val="1"/>
      <sz val="12"/>
    </font>
    <font>
      <name val="나눔고딕"/>
      <charset val="129"/>
      <family val="3"/>
      <sz val="9"/>
    </font>
    <font>
      <name val="맑은 고딕"/>
      <charset val="129"/>
      <family val="3"/>
      <sz val="8"/>
    </font>
    <font>
      <name val="맑은 고딕"/>
      <charset val="129"/>
      <family val="3"/>
      <sz val="11"/>
    </font>
    <font>
      <name val="맑은 고딕"/>
      <charset val="129"/>
      <family val="3"/>
      <color indexed="53"/>
      <sz val="10"/>
    </font>
    <font>
      <name val="맑은 고딕"/>
      <charset val="129"/>
      <family val="3"/>
      <sz val="9"/>
    </font>
    <font>
      <name val="맑은 고딕"/>
      <charset val="129"/>
      <family val="3"/>
      <b val="1"/>
      <sz val="14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sz val="9"/>
    </font>
    <font>
      <name val="맑은 고딕"/>
      <charset val="129"/>
      <family val="3"/>
      <sz val="10"/>
    </font>
    <font>
      <name val="맑은 고딕"/>
      <charset val="129"/>
      <family val="3"/>
      <b val="1"/>
      <sz val="12"/>
    </font>
    <font>
      <name val="맑은 고딕"/>
      <charset val="129"/>
      <family val="3"/>
      <sz val="7"/>
    </font>
    <font>
      <name val="맑은 고딕"/>
      <charset val="129"/>
      <family val="3"/>
      <b val="1"/>
      <sz val="8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b val="1"/>
      <color indexed="63"/>
      <sz val="11"/>
    </font>
    <font>
      <name val="Helv"/>
      <family val="2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10"/>
      <sz val="11"/>
      <u val="single"/>
      <scheme val="minor"/>
    </font>
    <font>
      <name val="맑은 고딕"/>
      <charset val="129"/>
      <family val="3"/>
      <color theme="1"/>
      <sz val="10"/>
    </font>
    <font>
      <name val="맑은 고딕"/>
      <family val="2"/>
      <b val="1"/>
      <sz val="8"/>
    </font>
    <font>
      <name val="맑은 고딕"/>
      <family val="2"/>
      <sz val="8"/>
    </font>
    <font>
      <name val="돋움"/>
      <charset val="129"/>
      <family val="2"/>
      <sz val="11"/>
    </font>
    <font>
      <name val="맑은 고딕"/>
      <charset val="129"/>
      <family val="2"/>
      <b val="1"/>
      <sz val="8"/>
    </font>
    <font>
      <name val="맑은 고딕"/>
      <charset val="129"/>
      <family val="2"/>
      <color indexed="8"/>
      <sz val="11"/>
    </font>
    <font>
      <name val="맑은 고딕"/>
      <charset val="129"/>
      <family val="2"/>
      <color indexed="9"/>
      <sz val="11"/>
    </font>
    <font>
      <name val="맑은 고딕"/>
      <charset val="129"/>
      <family val="2"/>
      <color indexed="10"/>
      <sz val="11"/>
    </font>
    <font>
      <name val="맑은 고딕"/>
      <charset val="129"/>
      <family val="2"/>
      <b val="1"/>
      <color indexed="52"/>
      <sz val="11"/>
    </font>
    <font>
      <name val="맑은 고딕"/>
      <charset val="129"/>
      <family val="2"/>
      <color indexed="20"/>
      <sz val="11"/>
    </font>
    <font>
      <name val="맑은 고딕"/>
      <charset val="129"/>
      <family val="2"/>
      <color indexed="60"/>
      <sz val="11"/>
    </font>
    <font>
      <name val="맑은 고딕"/>
      <charset val="129"/>
      <family val="2"/>
      <i val="1"/>
      <color indexed="23"/>
      <sz val="11"/>
    </font>
    <font>
      <name val="맑은 고딕"/>
      <charset val="129"/>
      <family val="2"/>
      <b val="1"/>
      <color indexed="9"/>
      <sz val="11"/>
    </font>
    <font>
      <name val="맑은 고딕"/>
      <charset val="129"/>
      <family val="2"/>
      <color indexed="52"/>
      <sz val="11"/>
    </font>
    <font>
      <name val="맑은 고딕"/>
      <charset val="129"/>
      <family val="2"/>
      <b val="1"/>
      <color indexed="8"/>
      <sz val="11"/>
    </font>
    <font>
      <name val="맑은 고딕"/>
      <charset val="129"/>
      <family val="2"/>
      <color indexed="62"/>
      <sz val="11"/>
    </font>
    <font>
      <name val="맑은 고딕"/>
      <charset val="129"/>
      <family val="2"/>
      <b val="1"/>
      <color indexed="56"/>
      <sz val="18"/>
    </font>
    <font>
      <name val="맑은 고딕"/>
      <charset val="129"/>
      <family val="2"/>
      <b val="1"/>
      <color indexed="56"/>
      <sz val="15"/>
    </font>
    <font>
      <name val="맑은 고딕"/>
      <charset val="129"/>
      <family val="2"/>
      <b val="1"/>
      <color indexed="56"/>
      <sz val="13"/>
    </font>
    <font>
      <name val="맑은 고딕"/>
      <charset val="129"/>
      <family val="2"/>
      <b val="1"/>
      <color indexed="56"/>
      <sz val="11"/>
    </font>
    <font>
      <name val="맑은 고딕"/>
      <charset val="129"/>
      <family val="2"/>
      <color indexed="17"/>
      <sz val="11"/>
    </font>
    <font>
      <name val="맑은 고딕"/>
      <charset val="129"/>
      <family val="2"/>
      <b val="1"/>
      <color indexed="63"/>
      <sz val="11"/>
    </font>
    <font>
      <name val="맑은 고딕"/>
      <family val="2"/>
      <color theme="10"/>
      <sz val="11"/>
      <u val="single"/>
      <scheme val="minor"/>
    </font>
    <font>
      <name val="맑은 고딕"/>
      <family val="2"/>
      <b val="1"/>
      <color theme="1"/>
      <sz val="8"/>
    </font>
    <font>
      <name val="맑은 고딕"/>
      <charset val="129"/>
      <family val="1"/>
      <b val="1"/>
      <sz val="22"/>
    </font>
    <font>
      <name val="맑은 고딕"/>
      <charset val="129"/>
      <family val="3"/>
      <b val="1"/>
      <color rgb="FFFF0000"/>
      <sz val="10"/>
    </font>
    <font>
      <name val="맑은 고딕"/>
      <charset val="129"/>
      <family val="3"/>
      <color rgb="FFFF0000"/>
      <sz val="10"/>
    </font>
  </fonts>
  <fills count="30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83">
    <xf numFmtId="0" fontId="3" fillId="0" borderId="0"/>
    <xf numFmtId="0" fontId="27" fillId="2" borderId="0" applyAlignment="1">
      <alignment vertical="center"/>
    </xf>
    <xf numFmtId="0" fontId="27" fillId="2" borderId="0" applyAlignment="1">
      <alignment vertical="center"/>
    </xf>
    <xf numFmtId="0" fontId="27" fillId="3" borderId="0" applyAlignment="1">
      <alignment vertical="center"/>
    </xf>
    <xf numFmtId="0" fontId="27" fillId="3" borderId="0" applyAlignment="1">
      <alignment vertical="center"/>
    </xf>
    <xf numFmtId="0" fontId="27" fillId="4" borderId="0" applyAlignment="1">
      <alignment vertical="center"/>
    </xf>
    <xf numFmtId="0" fontId="27" fillId="4" borderId="0" applyAlignment="1">
      <alignment vertical="center"/>
    </xf>
    <xf numFmtId="0" fontId="27" fillId="5" borderId="0" applyAlignment="1">
      <alignment vertical="center"/>
    </xf>
    <xf numFmtId="0" fontId="27" fillId="5" borderId="0" applyAlignment="1">
      <alignment vertical="center"/>
    </xf>
    <xf numFmtId="0" fontId="27" fillId="6" borderId="0" applyAlignment="1">
      <alignment vertical="center"/>
    </xf>
    <xf numFmtId="0" fontId="27" fillId="6" borderId="0" applyAlignment="1">
      <alignment vertical="center"/>
    </xf>
    <xf numFmtId="0" fontId="27" fillId="7" borderId="0" applyAlignment="1">
      <alignment vertical="center"/>
    </xf>
    <xf numFmtId="0" fontId="27" fillId="7" borderId="0" applyAlignment="1">
      <alignment vertical="center"/>
    </xf>
    <xf numFmtId="0" fontId="27" fillId="8" borderId="0" applyAlignment="1">
      <alignment vertical="center"/>
    </xf>
    <xf numFmtId="0" fontId="27" fillId="8" borderId="0" applyAlignment="1">
      <alignment vertical="center"/>
    </xf>
    <xf numFmtId="0" fontId="27" fillId="9" borderId="0" applyAlignment="1">
      <alignment vertical="center"/>
    </xf>
    <xf numFmtId="0" fontId="27" fillId="9" borderId="0" applyAlignment="1">
      <alignment vertical="center"/>
    </xf>
    <xf numFmtId="0" fontId="27" fillId="10" borderId="0" applyAlignment="1">
      <alignment vertical="center"/>
    </xf>
    <xf numFmtId="0" fontId="27" fillId="10" borderId="0" applyAlignment="1">
      <alignment vertical="center"/>
    </xf>
    <xf numFmtId="0" fontId="27" fillId="5" borderId="0" applyAlignment="1">
      <alignment vertical="center"/>
    </xf>
    <xf numFmtId="0" fontId="27" fillId="5" borderId="0" applyAlignment="1">
      <alignment vertical="center"/>
    </xf>
    <xf numFmtId="0" fontId="27" fillId="8" borderId="0" applyAlignment="1">
      <alignment vertical="center"/>
    </xf>
    <xf numFmtId="0" fontId="27" fillId="8" borderId="0" applyAlignment="1">
      <alignment vertical="center"/>
    </xf>
    <xf numFmtId="0" fontId="27" fillId="11" borderId="0" applyAlignment="1">
      <alignment vertical="center"/>
    </xf>
    <xf numFmtId="0" fontId="27" fillId="11" borderId="0" applyAlignment="1">
      <alignment vertical="center"/>
    </xf>
    <xf numFmtId="0" fontId="28" fillId="12" borderId="0" applyAlignment="1">
      <alignment vertical="center"/>
    </xf>
    <xf numFmtId="0" fontId="28" fillId="9" borderId="0" applyAlignment="1">
      <alignment vertical="center"/>
    </xf>
    <xf numFmtId="0" fontId="28" fillId="10" borderId="0" applyAlignment="1">
      <alignment vertical="center"/>
    </xf>
    <xf numFmtId="0" fontId="28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0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8" fillId="18" borderId="0" applyAlignment="1">
      <alignment vertical="center"/>
    </xf>
    <xf numFmtId="0" fontId="28" fillId="13" borderId="0" applyAlignment="1">
      <alignment vertical="center"/>
    </xf>
    <xf numFmtId="0" fontId="28" fillId="14" borderId="0" applyAlignment="1">
      <alignment vertical="center"/>
    </xf>
    <xf numFmtId="0" fontId="28" fillId="19" borderId="0" applyAlignment="1">
      <alignment vertical="center"/>
    </xf>
    <xf numFmtId="0" fontId="29" fillId="0" borderId="0" applyAlignment="1">
      <alignment vertical="center"/>
    </xf>
    <xf numFmtId="0" fontId="30" fillId="20" borderId="1" applyAlignment="1">
      <alignment vertical="center"/>
    </xf>
    <xf numFmtId="0" fontId="31" fillId="3" borderId="0" applyAlignment="1">
      <alignment vertical="center"/>
    </xf>
    <xf numFmtId="0" fontId="3" fillId="21" borderId="2" applyAlignment="1">
      <alignment vertical="center"/>
    </xf>
    <xf numFmtId="9" fontId="27" fillId="0" borderId="0" applyAlignment="1">
      <alignment vertical="center"/>
    </xf>
    <xf numFmtId="9" fontId="45" fillId="0" borderId="0" applyAlignment="1">
      <alignment vertical="center"/>
    </xf>
    <xf numFmtId="0" fontId="32" fillId="22" borderId="0" applyAlignment="1">
      <alignment vertical="center"/>
    </xf>
    <xf numFmtId="0" fontId="33" fillId="0" borderId="0" applyAlignment="1">
      <alignment vertical="center"/>
    </xf>
    <xf numFmtId="0" fontId="34" fillId="23" borderId="3" applyAlignment="1">
      <alignment vertical="center"/>
    </xf>
    <xf numFmtId="41" fontId="3" fillId="0" borderId="0"/>
    <xf numFmtId="41" fontId="3" fillId="0" borderId="0"/>
    <xf numFmtId="41" fontId="45" fillId="0" borderId="0" applyAlignment="1">
      <alignment vertical="center"/>
    </xf>
    <xf numFmtId="41" fontId="45" fillId="0" borderId="0"/>
    <xf numFmtId="41" fontId="45" fillId="0" borderId="0" applyAlignment="1">
      <alignment vertical="center"/>
    </xf>
    <xf numFmtId="0" fontId="44" fillId="0" borderId="0"/>
    <xf numFmtId="0" fontId="35" fillId="0" borderId="4" applyAlignment="1">
      <alignment vertical="center"/>
    </xf>
    <xf numFmtId="0" fontId="36" fillId="0" borderId="5" applyAlignment="1">
      <alignment vertical="center"/>
    </xf>
    <xf numFmtId="0" fontId="37" fillId="7" borderId="1" applyAlignment="1">
      <alignment vertical="center"/>
    </xf>
    <xf numFmtId="0" fontId="39" fillId="0" borderId="6" applyAlignment="1">
      <alignment vertical="center"/>
    </xf>
    <xf numFmtId="0" fontId="40" fillId="0" borderId="7" applyAlignment="1">
      <alignment vertical="center"/>
    </xf>
    <xf numFmtId="0" fontId="41" fillId="0" borderId="8" applyAlignment="1">
      <alignment vertical="center"/>
    </xf>
    <xf numFmtId="0" fontId="41" fillId="0" borderId="0" applyAlignment="1">
      <alignment vertical="center"/>
    </xf>
    <xf numFmtId="0" fontId="38" fillId="0" borderId="0" applyAlignment="1">
      <alignment vertical="center"/>
    </xf>
    <xf numFmtId="0" fontId="42" fillId="4" borderId="0" applyAlignment="1">
      <alignment vertical="center"/>
    </xf>
    <xf numFmtId="0" fontId="43" fillId="20" borderId="9" applyAlignment="1">
      <alignment vertical="center"/>
    </xf>
    <xf numFmtId="0" fontId="3" fillId="0" borderId="0"/>
    <xf numFmtId="0" fontId="45" fillId="0" borderId="0" applyAlignment="1">
      <alignment vertical="center"/>
    </xf>
    <xf numFmtId="0" fontId="45" fillId="0" borderId="0" applyAlignment="1">
      <alignment vertical="center"/>
    </xf>
    <xf numFmtId="0" fontId="45" fillId="0" borderId="0" applyAlignment="1">
      <alignment vertical="center"/>
    </xf>
    <xf numFmtId="0" fontId="45" fillId="0" borderId="0" applyAlignment="1">
      <alignment vertical="center"/>
    </xf>
    <xf numFmtId="0" fontId="5" fillId="0" borderId="0"/>
    <xf numFmtId="0" fontId="3" fillId="0" borderId="0"/>
    <xf numFmtId="0" fontId="46" fillId="0" borderId="0" applyAlignment="1">
      <alignment vertical="center"/>
    </xf>
    <xf numFmtId="0" fontId="50" fillId="0" borderId="0"/>
    <xf numFmtId="0" fontId="52" fillId="2" borderId="0" applyAlignment="1">
      <alignment vertical="center"/>
    </xf>
    <xf numFmtId="0" fontId="52" fillId="2" borderId="0" applyAlignment="1">
      <alignment vertical="center"/>
    </xf>
    <xf numFmtId="0" fontId="52" fillId="2" borderId="0" applyAlignment="1">
      <alignment vertical="center"/>
    </xf>
    <xf numFmtId="0" fontId="52" fillId="2" borderId="0" applyAlignment="1">
      <alignment vertical="center"/>
    </xf>
    <xf numFmtId="0" fontId="52" fillId="3" borderId="0" applyAlignment="1">
      <alignment vertical="center"/>
    </xf>
    <xf numFmtId="0" fontId="52" fillId="3" borderId="0" applyAlignment="1">
      <alignment vertical="center"/>
    </xf>
    <xf numFmtId="0" fontId="52" fillId="3" borderId="0" applyAlignment="1">
      <alignment vertical="center"/>
    </xf>
    <xf numFmtId="0" fontId="52" fillId="3" borderId="0" applyAlignment="1">
      <alignment vertical="center"/>
    </xf>
    <xf numFmtId="0" fontId="52" fillId="4" borderId="0" applyAlignment="1">
      <alignment vertical="center"/>
    </xf>
    <xf numFmtId="0" fontId="52" fillId="4" borderId="0" applyAlignment="1">
      <alignment vertical="center"/>
    </xf>
    <xf numFmtId="0" fontId="52" fillId="4" borderId="0" applyAlignment="1">
      <alignment vertical="center"/>
    </xf>
    <xf numFmtId="0" fontId="52" fillId="4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7" borderId="0" applyAlignment="1">
      <alignment vertical="center"/>
    </xf>
    <xf numFmtId="0" fontId="52" fillId="7" borderId="0" applyAlignment="1">
      <alignment vertical="center"/>
    </xf>
    <xf numFmtId="0" fontId="52" fillId="7" borderId="0" applyAlignment="1">
      <alignment vertical="center"/>
    </xf>
    <xf numFmtId="0" fontId="52" fillId="7" borderId="0" applyAlignment="1">
      <alignment vertical="center"/>
    </xf>
    <xf numFmtId="0" fontId="52" fillId="8" borderId="0" applyAlignment="1">
      <alignment vertical="center"/>
    </xf>
    <xf numFmtId="0" fontId="52" fillId="8" borderId="0" applyAlignment="1">
      <alignment vertical="center"/>
    </xf>
    <xf numFmtId="0" fontId="52" fillId="8" borderId="0" applyAlignment="1">
      <alignment vertical="center"/>
    </xf>
    <xf numFmtId="0" fontId="52" fillId="8" borderId="0" applyAlignment="1">
      <alignment vertical="center"/>
    </xf>
    <xf numFmtId="0" fontId="52" fillId="9" borderId="0" applyAlignment="1">
      <alignment vertical="center"/>
    </xf>
    <xf numFmtId="0" fontId="52" fillId="9" borderId="0" applyAlignment="1">
      <alignment vertical="center"/>
    </xf>
    <xf numFmtId="0" fontId="52" fillId="9" borderId="0" applyAlignment="1">
      <alignment vertical="center"/>
    </xf>
    <xf numFmtId="0" fontId="52" fillId="9" borderId="0" applyAlignment="1">
      <alignment vertical="center"/>
    </xf>
    <xf numFmtId="0" fontId="52" fillId="10" borderId="0" applyAlignment="1">
      <alignment vertical="center"/>
    </xf>
    <xf numFmtId="0" fontId="52" fillId="10" borderId="0" applyAlignment="1">
      <alignment vertical="center"/>
    </xf>
    <xf numFmtId="0" fontId="52" fillId="10" borderId="0" applyAlignment="1">
      <alignment vertical="center"/>
    </xf>
    <xf numFmtId="0" fontId="52" fillId="10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8" borderId="0" applyAlignment="1">
      <alignment vertical="center"/>
    </xf>
    <xf numFmtId="0" fontId="52" fillId="8" borderId="0" applyAlignment="1">
      <alignment vertical="center"/>
    </xf>
    <xf numFmtId="0" fontId="52" fillId="8" borderId="0" applyAlignment="1">
      <alignment vertical="center"/>
    </xf>
    <xf numFmtId="0" fontId="52" fillId="8" borderId="0" applyAlignment="1">
      <alignment vertical="center"/>
    </xf>
    <xf numFmtId="0" fontId="52" fillId="11" borderId="0" applyAlignment="1">
      <alignment vertical="center"/>
    </xf>
    <xf numFmtId="0" fontId="52" fillId="11" borderId="0" applyAlignment="1">
      <alignment vertical="center"/>
    </xf>
    <xf numFmtId="0" fontId="52" fillId="11" borderId="0" applyAlignment="1">
      <alignment vertical="center"/>
    </xf>
    <xf numFmtId="0" fontId="52" fillId="11" borderId="0" applyAlignment="1">
      <alignment vertical="center"/>
    </xf>
    <xf numFmtId="0" fontId="53" fillId="12" borderId="0" applyAlignment="1">
      <alignment vertical="center"/>
    </xf>
    <xf numFmtId="0" fontId="53" fillId="12" borderId="0" applyAlignment="1">
      <alignment vertical="center"/>
    </xf>
    <xf numFmtId="0" fontId="53" fillId="9" borderId="0" applyAlignment="1">
      <alignment vertical="center"/>
    </xf>
    <xf numFmtId="0" fontId="53" fillId="9" borderId="0" applyAlignment="1">
      <alignment vertical="center"/>
    </xf>
    <xf numFmtId="0" fontId="53" fillId="10" borderId="0" applyAlignment="1">
      <alignment vertical="center"/>
    </xf>
    <xf numFmtId="0" fontId="53" fillId="10" borderId="0" applyAlignment="1">
      <alignment vertical="center"/>
    </xf>
    <xf numFmtId="0" fontId="53" fillId="13" borderId="0" applyAlignment="1">
      <alignment vertical="center"/>
    </xf>
    <xf numFmtId="0" fontId="53" fillId="13" borderId="0" applyAlignment="1">
      <alignment vertical="center"/>
    </xf>
    <xf numFmtId="0" fontId="53" fillId="14" borderId="0" applyAlignment="1">
      <alignment vertical="center"/>
    </xf>
    <xf numFmtId="0" fontId="53" fillId="14" borderId="0" applyAlignment="1">
      <alignment vertical="center"/>
    </xf>
    <xf numFmtId="0" fontId="53" fillId="15" borderId="0" applyAlignment="1">
      <alignment vertical="center"/>
    </xf>
    <xf numFmtId="0" fontId="53" fillId="15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3" fillId="16" borderId="0" applyAlignment="1">
      <alignment vertical="center"/>
    </xf>
    <xf numFmtId="0" fontId="53" fillId="16" borderId="0" applyAlignment="1">
      <alignment vertical="center"/>
    </xf>
    <xf numFmtId="0" fontId="53" fillId="17" borderId="0" applyAlignment="1">
      <alignment vertical="center"/>
    </xf>
    <xf numFmtId="0" fontId="53" fillId="17" borderId="0" applyAlignment="1">
      <alignment vertical="center"/>
    </xf>
    <xf numFmtId="0" fontId="53" fillId="18" borderId="0" applyAlignment="1">
      <alignment vertical="center"/>
    </xf>
    <xf numFmtId="0" fontId="53" fillId="18" borderId="0" applyAlignment="1">
      <alignment vertical="center"/>
    </xf>
    <xf numFmtId="0" fontId="53" fillId="13" borderId="0" applyAlignment="1">
      <alignment vertical="center"/>
    </xf>
    <xf numFmtId="0" fontId="53" fillId="13" borderId="0" applyAlignment="1">
      <alignment vertical="center"/>
    </xf>
    <xf numFmtId="0" fontId="53" fillId="14" borderId="0" applyAlignment="1">
      <alignment vertical="center"/>
    </xf>
    <xf numFmtId="0" fontId="53" fillId="14" borderId="0" applyAlignment="1">
      <alignment vertical="center"/>
    </xf>
    <xf numFmtId="0" fontId="53" fillId="19" borderId="0" applyAlignment="1">
      <alignment vertical="center"/>
    </xf>
    <xf numFmtId="0" fontId="53" fillId="19" borderId="0" applyAlignment="1">
      <alignment vertical="center"/>
    </xf>
    <xf numFmtId="0" fontId="54" fillId="0" borderId="0" applyAlignment="1">
      <alignment vertical="center"/>
    </xf>
    <xf numFmtId="0" fontId="54" fillId="0" borderId="0" applyAlignment="1">
      <alignment vertical="center"/>
    </xf>
    <xf numFmtId="0" fontId="55" fillId="20" borderId="1" applyAlignment="1">
      <alignment vertical="center"/>
    </xf>
    <xf numFmtId="0" fontId="55" fillId="20" borderId="1" applyAlignment="1">
      <alignment vertical="center"/>
    </xf>
    <xf numFmtId="0" fontId="56" fillId="3" borderId="0" applyAlignment="1">
      <alignment vertical="center"/>
    </xf>
    <xf numFmtId="0" fontId="56" fillId="3" borderId="0" applyAlignment="1">
      <alignment vertical="center"/>
    </xf>
    <xf numFmtId="0" fontId="50" fillId="21" borderId="2" applyAlignment="1">
      <alignment vertical="center"/>
    </xf>
    <xf numFmtId="0" fontId="50" fillId="21" borderId="2" applyAlignment="1">
      <alignment vertical="center"/>
    </xf>
    <xf numFmtId="9" fontId="52" fillId="0" borderId="0" applyAlignment="1">
      <alignment vertical="center"/>
    </xf>
    <xf numFmtId="9" fontId="52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0" fontId="57" fillId="22" borderId="0" applyAlignment="1">
      <alignment vertical="center"/>
    </xf>
    <xf numFmtId="0" fontId="57" fillId="22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9" fillId="23" borderId="3" applyAlignment="1">
      <alignment vertical="center"/>
    </xf>
    <xf numFmtId="0" fontId="59" fillId="23" borderId="3" applyAlignment="1">
      <alignment vertical="center"/>
    </xf>
    <xf numFmtId="41" fontId="50" fillId="0" borderId="0"/>
    <xf numFmtId="41" fontId="50" fillId="0" borderId="0"/>
    <xf numFmtId="41" fontId="50" fillId="0" borderId="0"/>
    <xf numFmtId="41" fontId="2" fillId="0" borderId="0" applyAlignment="1">
      <alignment vertical="center"/>
    </xf>
    <xf numFmtId="41" fontId="2" fillId="0" borderId="0"/>
    <xf numFmtId="41" fontId="2" fillId="0" borderId="0"/>
    <xf numFmtId="41" fontId="2" fillId="0" borderId="0" applyAlignment="1">
      <alignment vertical="center"/>
    </xf>
    <xf numFmtId="41" fontId="2" fillId="0" borderId="0" applyAlignment="1">
      <alignment vertical="center"/>
    </xf>
    <xf numFmtId="41" fontId="2" fillId="0" borderId="0" applyAlignment="1">
      <alignment vertical="center"/>
    </xf>
    <xf numFmtId="41" fontId="50" fillId="0" borderId="0"/>
    <xf numFmtId="0" fontId="60" fillId="0" borderId="4" applyAlignment="1">
      <alignment vertical="center"/>
    </xf>
    <xf numFmtId="0" fontId="60" fillId="0" borderId="4" applyAlignment="1">
      <alignment vertical="center"/>
    </xf>
    <xf numFmtId="0" fontId="61" fillId="0" borderId="5" applyAlignment="1">
      <alignment vertical="center"/>
    </xf>
    <xf numFmtId="0" fontId="61" fillId="0" borderId="5" applyAlignment="1">
      <alignment vertical="center"/>
    </xf>
    <xf numFmtId="0" fontId="62" fillId="7" borderId="1" applyAlignment="1">
      <alignment vertical="center"/>
    </xf>
    <xf numFmtId="0" fontId="62" fillId="7" borderId="1" applyAlignment="1">
      <alignment vertical="center"/>
    </xf>
    <xf numFmtId="0" fontId="64" fillId="0" borderId="6" applyAlignment="1">
      <alignment vertical="center"/>
    </xf>
    <xf numFmtId="0" fontId="64" fillId="0" borderId="6" applyAlignment="1">
      <alignment vertical="center"/>
    </xf>
    <xf numFmtId="0" fontId="65" fillId="0" borderId="7" applyAlignment="1">
      <alignment vertical="center"/>
    </xf>
    <xf numFmtId="0" fontId="65" fillId="0" borderId="7" applyAlignment="1">
      <alignment vertical="center"/>
    </xf>
    <xf numFmtId="0" fontId="66" fillId="0" borderId="8" applyAlignment="1">
      <alignment vertical="center"/>
    </xf>
    <xf numFmtId="0" fontId="66" fillId="0" borderId="8" applyAlignment="1">
      <alignment vertical="center"/>
    </xf>
    <xf numFmtId="0" fontId="66" fillId="0" borderId="0" applyAlignment="1">
      <alignment vertical="center"/>
    </xf>
    <xf numFmtId="0" fontId="66" fillId="0" borderId="0" applyAlignment="1">
      <alignment vertical="center"/>
    </xf>
    <xf numFmtId="0" fontId="63" fillId="0" borderId="0" applyAlignment="1">
      <alignment vertical="center"/>
    </xf>
    <xf numFmtId="0" fontId="63" fillId="0" borderId="0" applyAlignment="1">
      <alignment vertical="center"/>
    </xf>
    <xf numFmtId="0" fontId="67" fillId="4" borderId="0" applyAlignment="1">
      <alignment vertical="center"/>
    </xf>
    <xf numFmtId="0" fontId="67" fillId="4" borderId="0" applyAlignment="1">
      <alignment vertical="center"/>
    </xf>
    <xf numFmtId="0" fontId="68" fillId="20" borderId="9" applyAlignment="1">
      <alignment vertical="center"/>
    </xf>
    <xf numFmtId="0" fontId="68" fillId="20" borderId="9" applyAlignment="1">
      <alignment vertical="center"/>
    </xf>
    <xf numFmtId="0" fontId="50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50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50" fillId="0" borderId="0"/>
    <xf numFmtId="0" fontId="50" fillId="0" borderId="0"/>
    <xf numFmtId="0" fontId="69" fillId="0" borderId="0" applyAlignment="1">
      <alignment vertical="center"/>
    </xf>
    <xf numFmtId="0" fontId="69" fillId="0" borderId="0" applyAlignment="1">
      <alignment vertical="center"/>
    </xf>
    <xf numFmtId="0" fontId="52" fillId="2" borderId="0" applyAlignment="1">
      <alignment vertical="center"/>
    </xf>
    <xf numFmtId="0" fontId="52" fillId="2" borderId="0" applyAlignment="1">
      <alignment vertical="center"/>
    </xf>
    <xf numFmtId="0" fontId="52" fillId="3" borderId="0" applyAlignment="1">
      <alignment vertical="center"/>
    </xf>
    <xf numFmtId="0" fontId="52" fillId="3" borderId="0" applyAlignment="1">
      <alignment vertical="center"/>
    </xf>
    <xf numFmtId="0" fontId="52" fillId="4" borderId="0" applyAlignment="1">
      <alignment vertical="center"/>
    </xf>
    <xf numFmtId="0" fontId="52" fillId="4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7" borderId="0" applyAlignment="1">
      <alignment vertical="center"/>
    </xf>
    <xf numFmtId="0" fontId="52" fillId="7" borderId="0" applyAlignment="1">
      <alignment vertical="center"/>
    </xf>
    <xf numFmtId="0" fontId="52" fillId="8" borderId="0" applyAlignment="1">
      <alignment vertical="center"/>
    </xf>
    <xf numFmtId="0" fontId="52" fillId="8" borderId="0" applyAlignment="1">
      <alignment vertical="center"/>
    </xf>
    <xf numFmtId="0" fontId="52" fillId="9" borderId="0" applyAlignment="1">
      <alignment vertical="center"/>
    </xf>
    <xf numFmtId="0" fontId="52" fillId="9" borderId="0" applyAlignment="1">
      <alignment vertical="center"/>
    </xf>
    <xf numFmtId="0" fontId="52" fillId="10" borderId="0" applyAlignment="1">
      <alignment vertical="center"/>
    </xf>
    <xf numFmtId="0" fontId="52" fillId="10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8" borderId="0" applyAlignment="1">
      <alignment vertical="center"/>
    </xf>
    <xf numFmtId="0" fontId="52" fillId="8" borderId="0" applyAlignment="1">
      <alignment vertical="center"/>
    </xf>
    <xf numFmtId="0" fontId="52" fillId="11" borderId="0" applyAlignment="1">
      <alignment vertical="center"/>
    </xf>
    <xf numFmtId="0" fontId="52" fillId="11" borderId="0" applyAlignment="1">
      <alignment vertical="center"/>
    </xf>
    <xf numFmtId="0" fontId="53" fillId="12" borderId="0" applyAlignment="1">
      <alignment vertical="center"/>
    </xf>
    <xf numFmtId="0" fontId="53" fillId="9" borderId="0" applyAlignment="1">
      <alignment vertical="center"/>
    </xf>
    <xf numFmtId="0" fontId="53" fillId="10" borderId="0" applyAlignment="1">
      <alignment vertical="center"/>
    </xf>
    <xf numFmtId="0" fontId="53" fillId="13" borderId="0" applyAlignment="1">
      <alignment vertical="center"/>
    </xf>
    <xf numFmtId="0" fontId="53" fillId="14" borderId="0" applyAlignment="1">
      <alignment vertical="center"/>
    </xf>
    <xf numFmtId="0" fontId="53" fillId="15" borderId="0" applyAlignment="1">
      <alignment vertical="center"/>
    </xf>
    <xf numFmtId="0" fontId="52" fillId="0" borderId="0" applyAlignment="1">
      <alignment vertical="center"/>
    </xf>
    <xf numFmtId="0" fontId="53" fillId="16" borderId="0" applyAlignment="1">
      <alignment vertical="center"/>
    </xf>
    <xf numFmtId="0" fontId="53" fillId="17" borderId="0" applyAlignment="1">
      <alignment vertical="center"/>
    </xf>
    <xf numFmtId="0" fontId="53" fillId="18" borderId="0" applyAlignment="1">
      <alignment vertical="center"/>
    </xf>
    <xf numFmtId="0" fontId="53" fillId="13" borderId="0" applyAlignment="1">
      <alignment vertical="center"/>
    </xf>
    <xf numFmtId="0" fontId="53" fillId="14" borderId="0" applyAlignment="1">
      <alignment vertical="center"/>
    </xf>
    <xf numFmtId="0" fontId="53" fillId="19" borderId="0" applyAlignment="1">
      <alignment vertical="center"/>
    </xf>
    <xf numFmtId="0" fontId="54" fillId="0" borderId="0" applyAlignment="1">
      <alignment vertical="center"/>
    </xf>
    <xf numFmtId="0" fontId="55" fillId="20" borderId="1" applyAlignment="1">
      <alignment vertical="center"/>
    </xf>
    <xf numFmtId="0" fontId="56" fillId="3" borderId="0" applyAlignment="1">
      <alignment vertical="center"/>
    </xf>
    <xf numFmtId="0" fontId="50" fillId="21" borderId="2" applyAlignment="1">
      <alignment vertical="center"/>
    </xf>
    <xf numFmtId="9" fontId="52" fillId="0" borderId="0" applyAlignment="1">
      <alignment vertical="center"/>
    </xf>
    <xf numFmtId="0" fontId="57" fillId="22" borderId="0" applyAlignment="1">
      <alignment vertical="center"/>
    </xf>
    <xf numFmtId="0" fontId="58" fillId="0" borderId="0" applyAlignment="1">
      <alignment vertical="center"/>
    </xf>
    <xf numFmtId="0" fontId="59" fillId="23" borderId="3" applyAlignment="1">
      <alignment vertical="center"/>
    </xf>
    <xf numFmtId="41" fontId="50" fillId="0" borderId="0"/>
    <xf numFmtId="41" fontId="50" fillId="0" borderId="0"/>
    <xf numFmtId="0" fontId="60" fillId="0" borderId="4" applyAlignment="1">
      <alignment vertical="center"/>
    </xf>
    <xf numFmtId="0" fontId="61" fillId="0" borderId="5" applyAlignment="1">
      <alignment vertical="center"/>
    </xf>
    <xf numFmtId="0" fontId="62" fillId="7" borderId="1" applyAlignment="1">
      <alignment vertical="center"/>
    </xf>
    <xf numFmtId="0" fontId="64" fillId="0" borderId="6" applyAlignment="1">
      <alignment vertical="center"/>
    </xf>
    <xf numFmtId="0" fontId="65" fillId="0" borderId="7" applyAlignment="1">
      <alignment vertical="center"/>
    </xf>
    <xf numFmtId="0" fontId="66" fillId="0" borderId="8" applyAlignment="1">
      <alignment vertical="center"/>
    </xf>
    <xf numFmtId="0" fontId="66" fillId="0" borderId="0" applyAlignment="1">
      <alignment vertical="center"/>
    </xf>
    <xf numFmtId="0" fontId="63" fillId="0" borderId="0" applyAlignment="1">
      <alignment vertical="center"/>
    </xf>
    <xf numFmtId="0" fontId="67" fillId="4" borderId="0" applyAlignment="1">
      <alignment vertical="center"/>
    </xf>
    <xf numFmtId="0" fontId="68" fillId="20" borderId="9" applyAlignment="1">
      <alignment vertical="center"/>
    </xf>
    <xf numFmtId="0" fontId="50" fillId="0" borderId="0"/>
    <xf numFmtId="0" fontId="50" fillId="0" borderId="0"/>
    <xf numFmtId="9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1" fontId="2" fillId="0" borderId="0"/>
    <xf numFmtId="41" fontId="2" fillId="0" borderId="0"/>
    <xf numFmtId="41" fontId="2" fillId="0" borderId="0" applyAlignment="1">
      <alignment vertical="center"/>
    </xf>
    <xf numFmtId="41" fontId="2" fillId="0" borderId="0" applyAlignment="1">
      <alignment vertical="center"/>
    </xf>
    <xf numFmtId="41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</cellStyleXfs>
  <cellXfs count="166">
    <xf numFmtId="0" fontId="0" fillId="0" borderId="0" pivotButton="0" quotePrefix="0" xfId="0"/>
    <xf numFmtId="0" fontId="6" fillId="24" borderId="0" pivotButton="0" quotePrefix="0" xfId="69"/>
    <xf numFmtId="0" fontId="8" fillId="24" borderId="0" applyAlignment="1" pivotButton="0" quotePrefix="0" xfId="69">
      <alignment vertical="center"/>
    </xf>
    <xf numFmtId="0" fontId="6" fillId="24" borderId="0" applyAlignment="1" pivotButton="0" quotePrefix="0" xfId="69">
      <alignment vertical="center"/>
    </xf>
    <xf numFmtId="0" fontId="9" fillId="24" borderId="10" applyAlignment="1" pivotButton="0" quotePrefix="0" xfId="68">
      <alignment horizontal="left" vertical="center"/>
    </xf>
    <xf numFmtId="0" fontId="9" fillId="24" borderId="10" applyAlignment="1" pivotButton="0" quotePrefix="0" xfId="68">
      <alignment vertical="center"/>
    </xf>
    <xf numFmtId="0" fontId="7" fillId="24" borderId="10" applyAlignment="1" pivotButton="0" quotePrefix="0" xfId="68">
      <alignment vertical="center"/>
    </xf>
    <xf numFmtId="0" fontId="9" fillId="24" borderId="0" applyAlignment="1" pivotButton="0" quotePrefix="0" xfId="68">
      <alignment horizontal="left" vertical="center"/>
    </xf>
    <xf numFmtId="0" fontId="9" fillId="24" borderId="0" applyAlignment="1" pivotButton="0" quotePrefix="0" xfId="68">
      <alignment vertical="center"/>
    </xf>
    <xf numFmtId="0" fontId="7" fillId="24" borderId="0" applyAlignment="1" pivotButton="0" quotePrefix="0" xfId="68">
      <alignment vertical="center"/>
    </xf>
    <xf numFmtId="0" fontId="10" fillId="24" borderId="0" applyAlignment="1" pivotButton="0" quotePrefix="0" xfId="68">
      <alignment horizontal="left" vertical="center"/>
    </xf>
    <xf numFmtId="164" fontId="9" fillId="24" borderId="0" applyAlignment="1" pivotButton="0" quotePrefix="0" xfId="47">
      <alignment horizontal="center" vertical="center"/>
    </xf>
    <xf numFmtId="0" fontId="9" fillId="24" borderId="11" applyAlignment="1" pivotButton="0" quotePrefix="0" xfId="68">
      <alignment horizontal="left" vertical="center"/>
    </xf>
    <xf numFmtId="0" fontId="9" fillId="24" borderId="11" applyAlignment="1" pivotButton="0" quotePrefix="0" xfId="68">
      <alignment vertical="center"/>
    </xf>
    <xf numFmtId="0" fontId="7" fillId="24" borderId="11" applyAlignment="1" pivotButton="0" quotePrefix="0" xfId="68">
      <alignment vertical="center"/>
    </xf>
    <xf numFmtId="0" fontId="8" fillId="24" borderId="12" applyAlignment="1" pivotButton="0" quotePrefix="0" xfId="69">
      <alignment vertical="center"/>
    </xf>
    <xf numFmtId="0" fontId="9" fillId="24" borderId="11" applyAlignment="1" pivotButton="0" quotePrefix="0" xfId="68">
      <alignment horizontal="left" vertical="center" indent="1"/>
    </xf>
    <xf numFmtId="0" fontId="11" fillId="24" borderId="0" applyAlignment="1" pivotButton="0" quotePrefix="0" xfId="69">
      <alignment vertical="center"/>
    </xf>
    <xf numFmtId="0" fontId="12" fillId="24" borderId="0" applyAlignment="1" pivotButton="0" quotePrefix="0" xfId="69">
      <alignment vertical="center"/>
    </xf>
    <xf numFmtId="0" fontId="15" fillId="24" borderId="0" applyAlignment="1" pivotButton="0" quotePrefix="0" xfId="68">
      <alignment horizontal="left" vertical="center" indent="1"/>
    </xf>
    <xf numFmtId="0" fontId="16" fillId="24" borderId="0" applyAlignment="1" pivotButton="0" quotePrefix="0" xfId="69">
      <alignment vertical="center"/>
    </xf>
    <xf numFmtId="0" fontId="17" fillId="24" borderId="0" applyAlignment="1" pivotButton="0" quotePrefix="0" xfId="69">
      <alignment vertical="center"/>
    </xf>
    <xf numFmtId="0" fontId="18" fillId="24" borderId="0" pivotButton="0" quotePrefix="0" xfId="69"/>
    <xf numFmtId="165" fontId="19" fillId="24" borderId="0" applyAlignment="1" pivotButton="0" quotePrefix="0" xfId="69">
      <alignment horizontal="right" vertical="center"/>
    </xf>
    <xf numFmtId="0" fontId="20" fillId="24" borderId="0" applyAlignment="1" pivotButton="0" quotePrefix="0" xfId="69">
      <alignment vertical="center"/>
    </xf>
    <xf numFmtId="0" fontId="19" fillId="24" borderId="11" applyAlignment="1" pivotButton="0" quotePrefix="0" xfId="69">
      <alignment vertical="center"/>
    </xf>
    <xf numFmtId="0" fontId="16" fillId="24" borderId="11" applyAlignment="1" pivotButton="0" quotePrefix="0" xfId="69">
      <alignment vertical="center"/>
    </xf>
    <xf numFmtId="0" fontId="22" fillId="24" borderId="0" applyAlignment="1" pivotButton="0" quotePrefix="0" xfId="69">
      <alignment horizontal="right" vertical="center"/>
    </xf>
    <xf numFmtId="164" fontId="19" fillId="24" borderId="0" applyAlignment="1" pivotButton="0" quotePrefix="0" xfId="47">
      <alignment horizontal="left" vertical="center"/>
    </xf>
    <xf numFmtId="0" fontId="19" fillId="24" borderId="0" applyAlignment="1" pivotButton="0" quotePrefix="0" xfId="69">
      <alignment horizontal="left" vertical="center"/>
    </xf>
    <xf numFmtId="0" fontId="21" fillId="24" borderId="0" applyAlignment="1" pivotButton="0" quotePrefix="0" xfId="69">
      <alignment vertical="center"/>
    </xf>
    <xf numFmtId="0" fontId="23" fillId="24" borderId="0" applyAlignment="1" pivotButton="0" quotePrefix="0" xfId="69">
      <alignment vertical="center"/>
    </xf>
    <xf numFmtId="0" fontId="23" fillId="24" borderId="13" applyAlignment="1" pivotButton="0" quotePrefix="0" xfId="69">
      <alignment vertical="center"/>
    </xf>
    <xf numFmtId="0" fontId="23" fillId="24" borderId="13" applyAlignment="1" pivotButton="0" quotePrefix="0" xfId="69">
      <alignment vertical="center" shrinkToFit="1"/>
    </xf>
    <xf numFmtId="0" fontId="22" fillId="24" borderId="13" applyAlignment="1" pivotButton="0" quotePrefix="0" xfId="69">
      <alignment horizontal="right" vertical="center"/>
    </xf>
    <xf numFmtId="0" fontId="23" fillId="24" borderId="11" pivotButton="0" quotePrefix="0" xfId="69"/>
    <xf numFmtId="164" fontId="25" fillId="24" borderId="11" applyAlignment="1" pivotButton="0" quotePrefix="0" xfId="47">
      <alignment horizontal="right" vertical="center"/>
    </xf>
    <xf numFmtId="0" fontId="26" fillId="24" borderId="0" applyAlignment="1" pivotButton="0" quotePrefix="0" xfId="69">
      <alignment vertical="center"/>
    </xf>
    <xf numFmtId="164" fontId="16" fillId="24" borderId="0" applyAlignment="1" pivotButton="0" quotePrefix="0" xfId="47">
      <alignment horizontal="right" vertical="center"/>
    </xf>
    <xf numFmtId="0" fontId="21" fillId="25" borderId="14" applyAlignment="1" pivotButton="0" quotePrefix="0" xfId="69">
      <alignment horizontal="center" vertical="center"/>
    </xf>
    <xf numFmtId="0" fontId="19" fillId="24" borderId="10" applyAlignment="1" pivotButton="0" quotePrefix="0" xfId="69">
      <alignment horizontal="left" vertical="center"/>
    </xf>
    <xf numFmtId="164" fontId="19" fillId="24" borderId="10" applyAlignment="1" pivotButton="0" quotePrefix="0" xfId="47">
      <alignment horizontal="right" vertical="center"/>
    </xf>
    <xf numFmtId="9" fontId="19" fillId="24" borderId="10" applyAlignment="1" pivotButton="0" quotePrefix="0" xfId="47">
      <alignment horizontal="right" vertical="center"/>
    </xf>
    <xf numFmtId="0" fontId="26" fillId="25" borderId="16" applyAlignment="1" pivotButton="0" quotePrefix="0" xfId="69">
      <alignment horizontal="center" vertical="center"/>
    </xf>
    <xf numFmtId="0" fontId="47" fillId="24" borderId="0" applyAlignment="1" pivotButton="0" quotePrefix="0" xfId="69">
      <alignment vertical="center"/>
    </xf>
    <xf numFmtId="164" fontId="47" fillId="24" borderId="0" applyAlignment="1" pivotButton="0" quotePrefix="0" xfId="47">
      <alignment horizontal="right" vertical="center"/>
    </xf>
    <xf numFmtId="0" fontId="19" fillId="24" borderId="0" applyAlignment="1" pivotButton="0" quotePrefix="0" xfId="69">
      <alignment horizontal="right" vertical="top"/>
    </xf>
    <xf numFmtId="0" fontId="21" fillId="24" borderId="10" applyAlignment="1" pivotButton="0" quotePrefix="0" xfId="69">
      <alignment horizontal="left" vertical="center"/>
    </xf>
    <xf numFmtId="0" fontId="22" fillId="24" borderId="0" applyAlignment="1" pivotButton="0" quotePrefix="0" xfId="69">
      <alignment horizontal="left" vertical="center"/>
    </xf>
    <xf numFmtId="164" fontId="23" fillId="24" borderId="17" applyAlignment="1" pivotButton="0" quotePrefix="0" xfId="47">
      <alignment horizontal="right" vertical="center"/>
    </xf>
    <xf numFmtId="166" fontId="8" fillId="24" borderId="0" applyAlignment="1" pivotButton="0" quotePrefix="0" xfId="69">
      <alignment vertical="center"/>
    </xf>
    <xf numFmtId="164" fontId="26" fillId="26" borderId="25" applyAlignment="1" pivotButton="0" quotePrefix="0" xfId="69">
      <alignment horizontal="right" vertical="center"/>
    </xf>
    <xf numFmtId="164" fontId="21" fillId="27" borderId="26" applyAlignment="1" pivotButton="0" quotePrefix="0" xfId="69">
      <alignment horizontal="center" vertical="center"/>
    </xf>
    <xf numFmtId="0" fontId="26" fillId="25" borderId="14" applyAlignment="1" pivotButton="0" quotePrefix="0" xfId="69">
      <alignment horizontal="center" vertical="center"/>
    </xf>
    <xf numFmtId="164" fontId="19" fillId="24" borderId="0" applyAlignment="1" pivotButton="0" quotePrefix="0" xfId="47">
      <alignment horizontal="right" vertical="center"/>
    </xf>
    <xf numFmtId="9" fontId="19" fillId="24" borderId="0" applyAlignment="1" pivotButton="0" quotePrefix="0" xfId="47">
      <alignment horizontal="right" vertical="center"/>
    </xf>
    <xf numFmtId="164" fontId="19" fillId="26" borderId="39" applyAlignment="1" pivotButton="0" quotePrefix="0" xfId="47">
      <alignment horizontal="right" vertical="center"/>
    </xf>
    <xf numFmtId="164" fontId="19" fillId="24" borderId="17" applyAlignment="1" pivotButton="0" quotePrefix="0" xfId="47">
      <alignment horizontal="right" vertical="center"/>
    </xf>
    <xf numFmtId="164" fontId="19" fillId="24" borderId="18" applyAlignment="1" pivotButton="0" quotePrefix="0" xfId="47">
      <alignment horizontal="right" vertical="center"/>
    </xf>
    <xf numFmtId="0" fontId="70" fillId="25" borderId="14" applyAlignment="1" pivotButton="0" quotePrefix="0" xfId="205">
      <alignment horizontal="center" vertical="center"/>
    </xf>
    <xf numFmtId="0" fontId="70" fillId="25" borderId="16" applyAlignment="1" pivotButton="0" quotePrefix="0" xfId="205">
      <alignment horizontal="center" vertical="center"/>
    </xf>
    <xf numFmtId="164" fontId="16" fillId="24" borderId="18" applyAlignment="1" pivotButton="0" quotePrefix="0" xfId="47">
      <alignment horizontal="center" vertical="center"/>
    </xf>
    <xf numFmtId="164" fontId="16" fillId="0" borderId="23" applyAlignment="1" pivotButton="0" quotePrefix="0" xfId="47">
      <alignment vertical="center"/>
    </xf>
    <xf numFmtId="167" fontId="16" fillId="24" borderId="18" applyAlignment="1" pivotButton="0" quotePrefix="0" xfId="47">
      <alignment horizontal="center" vertical="center"/>
    </xf>
    <xf numFmtId="164" fontId="19" fillId="24" borderId="29" applyAlignment="1" pivotButton="0" quotePrefix="0" xfId="47">
      <alignment vertical="center"/>
    </xf>
    <xf numFmtId="164" fontId="19" fillId="24" borderId="28" applyAlignment="1" pivotButton="0" quotePrefix="0" xfId="47">
      <alignment vertical="center"/>
    </xf>
    <xf numFmtId="0" fontId="70" fillId="25" borderId="24" applyAlignment="1" pivotButton="0" quotePrefix="0" xfId="205">
      <alignment horizontal="center" vertical="center"/>
    </xf>
    <xf numFmtId="168" fontId="19" fillId="24" borderId="18" applyAlignment="1" pivotButton="0" quotePrefix="0" xfId="47">
      <alignment horizontal="right" vertical="center"/>
    </xf>
    <xf numFmtId="168" fontId="48" fillId="26" borderId="28" applyAlignment="1" pivotButton="0" quotePrefix="0" xfId="69">
      <alignment vertical="center"/>
    </xf>
    <xf numFmtId="164" fontId="16" fillId="0" borderId="18" applyAlignment="1" pivotButton="0" quotePrefix="0" xfId="47">
      <alignment horizontal="center" vertical="center"/>
    </xf>
    <xf numFmtId="164" fontId="23" fillId="0" borderId="17" applyAlignment="1" pivotButton="0" quotePrefix="0" xfId="47">
      <alignment horizontal="right" vertical="center"/>
    </xf>
    <xf numFmtId="0" fontId="19" fillId="24" borderId="13" applyAlignment="1" pivotButton="0" quotePrefix="1" xfId="69">
      <alignment vertical="center"/>
    </xf>
    <xf numFmtId="0" fontId="72" fillId="24" borderId="0" applyAlignment="1" pivotButton="0" quotePrefix="0" xfId="69">
      <alignment vertical="center"/>
    </xf>
    <xf numFmtId="164" fontId="73" fillId="28" borderId="17" applyAlignment="1" pivotButton="0" quotePrefix="0" xfId="47">
      <alignment horizontal="right" vertical="center"/>
    </xf>
    <xf numFmtId="164" fontId="16" fillId="29" borderId="18" applyAlignment="1" pivotButton="0" quotePrefix="0" xfId="47">
      <alignment horizontal="center" vertical="center"/>
    </xf>
    <xf numFmtId="164" fontId="19" fillId="26" borderId="17" applyAlignment="1" pivotButton="0" quotePrefix="0" xfId="47">
      <alignment horizontal="right" vertical="center"/>
    </xf>
    <xf numFmtId="0" fontId="19" fillId="24" borderId="18" applyAlignment="1" pivotButton="0" quotePrefix="0" xfId="69">
      <alignment horizontal="center" vertical="center"/>
    </xf>
    <xf numFmtId="164" fontId="19" fillId="24" borderId="27" applyAlignment="1" pivotButton="0" quotePrefix="0" xfId="47">
      <alignment horizontal="center" vertical="center"/>
    </xf>
    <xf numFmtId="164" fontId="19" fillId="24" borderId="28" applyAlignment="1" pivotButton="0" quotePrefix="0" xfId="47">
      <alignment horizontal="center" vertical="center"/>
    </xf>
    <xf numFmtId="0" fontId="51" fillId="26" borderId="33" applyAlignment="1" pivotButton="0" quotePrefix="0" xfId="69">
      <alignment horizontal="center" vertical="center"/>
    </xf>
    <xf numFmtId="0" fontId="51" fillId="26" borderId="29" applyAlignment="1" pivotButton="0" quotePrefix="0" xfId="69">
      <alignment horizontal="center" vertical="center"/>
    </xf>
    <xf numFmtId="0" fontId="70" fillId="25" borderId="36" applyAlignment="1" pivotButton="0" quotePrefix="0" xfId="205">
      <alignment horizontal="center" vertical="center"/>
    </xf>
    <xf numFmtId="0" fontId="70" fillId="25" borderId="16" applyAlignment="1" pivotButton="0" quotePrefix="0" xfId="205">
      <alignment horizontal="center" vertical="center"/>
    </xf>
    <xf numFmtId="0" fontId="70" fillId="25" borderId="35" applyAlignment="1" pivotButton="0" quotePrefix="0" xfId="205">
      <alignment horizontal="center" vertical="center"/>
    </xf>
    <xf numFmtId="0" fontId="70" fillId="25" borderId="24" applyAlignment="1" pivotButton="0" quotePrefix="0" xfId="205">
      <alignment horizontal="center" vertical="center"/>
    </xf>
    <xf numFmtId="0" fontId="19" fillId="24" borderId="37" applyAlignment="1" pivotButton="0" quotePrefix="0" xfId="69">
      <alignment horizontal="center" vertical="center" wrapText="1"/>
    </xf>
    <xf numFmtId="0" fontId="19" fillId="24" borderId="38" applyAlignment="1" pivotButton="0" quotePrefix="0" xfId="69">
      <alignment horizontal="center" vertical="center" wrapText="1"/>
    </xf>
    <xf numFmtId="0" fontId="19" fillId="24" borderId="19" applyAlignment="1" pivotButton="0" quotePrefix="0" xfId="69">
      <alignment horizontal="center" vertical="center" wrapText="1"/>
    </xf>
    <xf numFmtId="0" fontId="19" fillId="24" borderId="20" applyAlignment="1" pivotButton="0" quotePrefix="0" xfId="69">
      <alignment horizontal="center" vertical="center" wrapText="1"/>
    </xf>
    <xf numFmtId="0" fontId="19" fillId="24" borderId="21" applyAlignment="1" pivotButton="0" quotePrefix="0" xfId="69">
      <alignment horizontal="center" vertical="center" wrapText="1"/>
    </xf>
    <xf numFmtId="0" fontId="19" fillId="24" borderId="22" applyAlignment="1" pivotButton="0" quotePrefix="0" xfId="69">
      <alignment horizontal="center" vertical="center" wrapText="1"/>
    </xf>
    <xf numFmtId="0" fontId="19" fillId="24" borderId="27" applyAlignment="1" pivotButton="0" quotePrefix="0" xfId="69">
      <alignment horizontal="center" vertical="center"/>
    </xf>
    <xf numFmtId="0" fontId="19" fillId="24" borderId="28" applyAlignment="1" pivotButton="0" quotePrefix="0" xfId="69">
      <alignment horizontal="center" vertical="center"/>
    </xf>
    <xf numFmtId="0" fontId="73" fillId="24" borderId="33" applyAlignment="1" pivotButton="0" quotePrefix="0" xfId="69">
      <alignment horizontal="left" vertical="center" wrapText="1"/>
    </xf>
    <xf numFmtId="0" fontId="73" fillId="24" borderId="29" applyAlignment="1" pivotButton="0" quotePrefix="0" xfId="69">
      <alignment horizontal="left" vertical="center" wrapText="1"/>
    </xf>
    <xf numFmtId="0" fontId="73" fillId="24" borderId="28" applyAlignment="1" pivotButton="0" quotePrefix="0" xfId="69">
      <alignment horizontal="left" vertical="center" wrapText="1"/>
    </xf>
    <xf numFmtId="0" fontId="73" fillId="24" borderId="27" applyAlignment="1" pivotButton="0" quotePrefix="0" xfId="69">
      <alignment horizontal="left" vertical="center" wrapText="1"/>
    </xf>
    <xf numFmtId="0" fontId="26" fillId="25" borderId="34" applyAlignment="1" pivotButton="0" quotePrefix="0" xfId="69">
      <alignment horizontal="center" vertical="center"/>
    </xf>
    <xf numFmtId="0" fontId="26" fillId="25" borderId="24" applyAlignment="1" pivotButton="0" quotePrefix="0" xfId="69">
      <alignment horizontal="center" vertical="center"/>
    </xf>
    <xf numFmtId="0" fontId="26" fillId="25" borderId="35" applyAlignment="1" pivotButton="0" quotePrefix="0" xfId="69">
      <alignment horizontal="center" vertical="center"/>
    </xf>
    <xf numFmtId="0" fontId="26" fillId="25" borderId="15" applyAlignment="1" pivotButton="0" quotePrefix="0" xfId="69">
      <alignment horizontal="center" vertical="center"/>
    </xf>
    <xf numFmtId="164" fontId="16" fillId="24" borderId="33" applyAlignment="1" pivotButton="0" quotePrefix="0" xfId="47">
      <alignment horizontal="left" vertical="center" wrapText="1"/>
    </xf>
    <xf numFmtId="164" fontId="16" fillId="24" borderId="28" applyAlignment="1" pivotButton="0" quotePrefix="0" xfId="47">
      <alignment horizontal="left" vertical="center"/>
    </xf>
    <xf numFmtId="0" fontId="16" fillId="24" borderId="18" applyAlignment="1" pivotButton="0" quotePrefix="1" xfId="69">
      <alignment horizontal="left" vertical="center"/>
    </xf>
    <xf numFmtId="0" fontId="16" fillId="24" borderId="18" applyAlignment="1" pivotButton="0" quotePrefix="1" xfId="69">
      <alignment horizontal="left" vertical="center" wrapText="1"/>
    </xf>
    <xf numFmtId="164" fontId="16" fillId="24" borderId="28" applyAlignment="1" pivotButton="0" quotePrefix="0" xfId="47">
      <alignment horizontal="left" vertical="center" wrapText="1"/>
    </xf>
    <xf numFmtId="0" fontId="16" fillId="29" borderId="18" applyAlignment="1" pivotButton="0" quotePrefix="1" xfId="69">
      <alignment horizontal="left" vertical="center" wrapText="1"/>
    </xf>
    <xf numFmtId="164" fontId="16" fillId="24" borderId="33" applyAlignment="1" pivotButton="0" quotePrefix="0" xfId="47">
      <alignment horizontal="left" vertical="center"/>
    </xf>
    <xf numFmtId="0" fontId="16" fillId="24" borderId="27" applyAlignment="1" pivotButton="0" quotePrefix="1" xfId="69">
      <alignment horizontal="left" vertical="center" wrapText="1"/>
    </xf>
    <xf numFmtId="0" fontId="16" fillId="24" borderId="28" applyAlignment="1" pivotButton="0" quotePrefix="1" xfId="69">
      <alignment horizontal="left" vertical="center" wrapText="1"/>
    </xf>
    <xf numFmtId="0" fontId="23" fillId="24" borderId="33" applyAlignment="1" pivotButton="0" quotePrefix="0" xfId="69">
      <alignment horizontal="left" vertical="center" wrapText="1"/>
    </xf>
    <xf numFmtId="0" fontId="23" fillId="24" borderId="29" applyAlignment="1" pivotButton="0" quotePrefix="0" xfId="69">
      <alignment horizontal="left" vertical="center" wrapText="1"/>
    </xf>
    <xf numFmtId="0" fontId="23" fillId="24" borderId="28" applyAlignment="1" pivotButton="0" quotePrefix="0" xfId="69">
      <alignment horizontal="left" vertical="center" wrapText="1"/>
    </xf>
    <xf numFmtId="0" fontId="23" fillId="24" borderId="18" applyAlignment="1" pivotButton="0" quotePrefix="0" xfId="69">
      <alignment horizontal="left" vertical="center" wrapText="1"/>
    </xf>
    <xf numFmtId="0" fontId="23" fillId="24" borderId="18" applyAlignment="1" pivotButton="0" quotePrefix="0" xfId="69">
      <alignment horizontal="left" vertical="center"/>
    </xf>
    <xf numFmtId="0" fontId="49" fillId="24" borderId="18" applyAlignment="1" pivotButton="0" quotePrefix="1" xfId="69">
      <alignment horizontal="left" vertical="center" wrapText="1"/>
    </xf>
    <xf numFmtId="0" fontId="26" fillId="26" borderId="30" applyAlignment="1" pivotButton="0" quotePrefix="0" xfId="69">
      <alignment horizontal="center" vertical="center"/>
    </xf>
    <xf numFmtId="0" fontId="26" fillId="26" borderId="31" applyAlignment="1" pivotButton="0" quotePrefix="0" xfId="69">
      <alignment horizontal="center" vertical="center"/>
    </xf>
    <xf numFmtId="0" fontId="26" fillId="26" borderId="32" applyAlignment="1" pivotButton="0" quotePrefix="0" xfId="69">
      <alignment horizontal="center" vertical="center"/>
    </xf>
    <xf numFmtId="0" fontId="71" fillId="24" borderId="0" applyAlignment="1" pivotButton="0" quotePrefix="0" xfId="69">
      <alignment horizontal="center" vertical="center" wrapText="1"/>
    </xf>
    <xf numFmtId="0" fontId="13" fillId="24" borderId="0" applyAlignment="1" pivotButton="0" quotePrefix="0" xfId="69">
      <alignment horizontal="center" vertical="center"/>
    </xf>
    <xf numFmtId="0" fontId="24" fillId="24" borderId="29" applyAlignment="1" pivotButton="0" quotePrefix="0" xfId="69">
      <alignment horizontal="left" vertical="center"/>
    </xf>
    <xf numFmtId="0" fontId="21" fillId="25" borderId="36" applyAlignment="1" pivotButton="0" quotePrefix="0" xfId="69">
      <alignment horizontal="center" vertical="center"/>
    </xf>
    <xf numFmtId="0" fontId="21" fillId="25" borderId="16" applyAlignment="1" pivotButton="0" quotePrefix="0" xfId="69">
      <alignment horizontal="center" vertical="center"/>
    </xf>
    <xf numFmtId="0" fontId="14" fillId="24" borderId="0" applyAlignment="1" pivotButton="0" quotePrefix="0" xfId="69">
      <alignment horizontal="center" vertical="center" wrapText="1"/>
    </xf>
    <xf numFmtId="0" fontId="19" fillId="24" borderId="11" applyAlignment="1" pivotButton="0" quotePrefix="0" xfId="69">
      <alignment horizontal="right" vertical="center" wrapText="1"/>
    </xf>
    <xf numFmtId="0" fontId="21" fillId="27" borderId="30" applyAlignment="1" pivotButton="0" quotePrefix="0" xfId="69">
      <alignment horizontal="center" vertical="center"/>
    </xf>
    <xf numFmtId="0" fontId="21" fillId="27" borderId="31" applyAlignment="1" pivotButton="0" quotePrefix="0" xfId="69">
      <alignment horizontal="center" vertical="center"/>
    </xf>
    <xf numFmtId="0" fontId="21" fillId="27" borderId="32" applyAlignment="1" pivotButton="0" quotePrefix="0" xfId="69">
      <alignment horizontal="center" vertical="center"/>
    </xf>
    <xf numFmtId="164" fontId="19" fillId="24" borderId="18" applyAlignment="1" pivotButton="0" quotePrefix="0" xfId="47">
      <alignment horizontal="left" vertical="center"/>
    </xf>
    <xf numFmtId="0" fontId="0" fillId="0" borderId="28" pivotButton="0" quotePrefix="0" xfId="0"/>
    <xf numFmtId="165" fontId="19" fillId="24" borderId="0" applyAlignment="1" pivotButton="0" quotePrefix="0" xfId="69">
      <alignment horizontal="right" vertical="center"/>
    </xf>
    <xf numFmtId="0" fontId="0" fillId="0" borderId="11" pivotButton="0" quotePrefix="0" xfId="0"/>
    <xf numFmtId="164" fontId="19" fillId="24" borderId="0" applyAlignment="1" pivotButton="0" quotePrefix="0" xfId="47">
      <alignment horizontal="left" vertical="center"/>
    </xf>
    <xf numFmtId="0" fontId="0" fillId="0" borderId="29" pivotButton="0" quotePrefix="0" xfId="0"/>
    <xf numFmtId="164" fontId="19" fillId="24" borderId="10" applyAlignment="1" pivotButton="0" quotePrefix="0" xfId="47">
      <alignment horizontal="right" vertical="center"/>
    </xf>
    <xf numFmtId="0" fontId="0" fillId="0" borderId="15" pivotButton="0" quotePrefix="0" xfId="0"/>
    <xf numFmtId="0" fontId="0" fillId="0" borderId="24" pivotButton="0" quotePrefix="0" xfId="0"/>
    <xf numFmtId="0" fontId="73" fillId="24" borderId="42" applyAlignment="1" pivotButton="0" quotePrefix="0" xfId="69">
      <alignment horizontal="left" vertical="center" wrapText="1"/>
    </xf>
    <xf numFmtId="0" fontId="73" fillId="24" borderId="18" applyAlignment="1" pivotButton="0" quotePrefix="0" xfId="69">
      <alignment horizontal="left" vertical="center" wrapText="1"/>
    </xf>
    <xf numFmtId="164" fontId="73" fillId="28" borderId="17" applyAlignment="1" pivotButton="0" quotePrefix="0" xfId="47">
      <alignment horizontal="right" vertical="center"/>
    </xf>
    <xf numFmtId="0" fontId="23" fillId="24" borderId="42" applyAlignment="1" pivotButton="0" quotePrefix="0" xfId="69">
      <alignment horizontal="left" vertical="center" wrapText="1"/>
    </xf>
    <xf numFmtId="164" fontId="23" fillId="24" borderId="17" applyAlignment="1" pivotButton="0" quotePrefix="0" xfId="47">
      <alignment horizontal="right" vertical="center"/>
    </xf>
    <xf numFmtId="0" fontId="21" fillId="27" borderId="43" applyAlignment="1" pivotButton="0" quotePrefix="0" xfId="69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164" fontId="21" fillId="27" borderId="26" applyAlignment="1" pivotButton="0" quotePrefix="0" xfId="69">
      <alignment horizontal="center" vertical="center"/>
    </xf>
    <xf numFmtId="0" fontId="26" fillId="25" borderId="36" applyAlignment="1" pivotButton="0" quotePrefix="0" xfId="69">
      <alignment horizontal="center" vertical="center"/>
    </xf>
    <xf numFmtId="164" fontId="16" fillId="24" borderId="42" applyAlignment="1" pivotButton="0" quotePrefix="0" xfId="47">
      <alignment horizontal="left" vertical="center" wrapText="1"/>
    </xf>
    <xf numFmtId="164" fontId="16" fillId="0" borderId="18" applyAlignment="1" pivotButton="0" quotePrefix="0" xfId="47">
      <alignment horizontal="center" vertical="center"/>
    </xf>
    <xf numFmtId="167" fontId="16" fillId="24" borderId="18" applyAlignment="1" pivotButton="0" quotePrefix="0" xfId="47">
      <alignment horizontal="center" vertical="center"/>
    </xf>
    <xf numFmtId="164" fontId="16" fillId="0" borderId="23" applyAlignment="1" pivotButton="0" quotePrefix="0" xfId="47">
      <alignment vertical="center"/>
    </xf>
    <xf numFmtId="0" fontId="26" fillId="26" borderId="43" applyAlignment="1" pivotButton="0" quotePrefix="0" xfId="69">
      <alignment horizontal="center" vertical="center"/>
    </xf>
    <xf numFmtId="164" fontId="26" fillId="26" borderId="25" applyAlignment="1" pivotButton="0" quotePrefix="0" xfId="69">
      <alignment horizontal="right" vertical="center"/>
    </xf>
    <xf numFmtId="0" fontId="19" fillId="24" borderId="44" applyAlignment="1" pivotButton="0" quotePrefix="0" xfId="69">
      <alignment horizontal="center" vertical="center" wrapText="1"/>
    </xf>
    <xf numFmtId="0" fontId="0" fillId="0" borderId="38" pivotButton="0" quotePrefix="0" xfId="0"/>
    <xf numFmtId="164" fontId="19" fillId="24" borderId="18" applyAlignment="1" pivotButton="0" quotePrefix="0" xfId="47">
      <alignment horizontal="left" vertical="center" wrapText="1"/>
    </xf>
    <xf numFmtId="164" fontId="19" fillId="24" borderId="28" applyAlignment="1" pivotButton="0" quotePrefix="0" xfId="47">
      <alignment vertical="center"/>
    </xf>
    <xf numFmtId="164" fontId="19" fillId="24" borderId="18" applyAlignment="1" pivotButton="0" quotePrefix="0" xfId="47">
      <alignment horizontal="right" vertical="center"/>
    </xf>
    <xf numFmtId="169" fontId="19" fillId="24" borderId="18" applyAlignment="1" pivotButton="0" quotePrefix="0" xfId="47">
      <alignment horizontal="right" vertical="center"/>
    </xf>
    <xf numFmtId="164" fontId="19" fillId="24" borderId="17" applyAlignment="1" pivotButton="0" quotePrefix="0" xfId="47">
      <alignment horizontal="right" vertical="center"/>
    </xf>
    <xf numFmtId="0" fontId="0" fillId="0" borderId="19" pivotButton="0" quotePrefix="0" xfId="0"/>
    <xf numFmtId="0" fontId="0" fillId="0" borderId="20" pivotButton="0" quotePrefix="0" xfId="0"/>
    <xf numFmtId="164" fontId="19" fillId="24" borderId="29" applyAlignment="1" pivotButton="0" quotePrefix="0" xfId="47">
      <alignment vertical="center"/>
    </xf>
    <xf numFmtId="169" fontId="48" fillId="26" borderId="28" applyAlignment="1" pivotButton="0" quotePrefix="0" xfId="69">
      <alignment vertical="center"/>
    </xf>
    <xf numFmtId="164" fontId="19" fillId="26" borderId="17" applyAlignment="1" pivotButton="0" quotePrefix="0" xfId="47">
      <alignment horizontal="right" vertical="center"/>
    </xf>
  </cellXfs>
  <cellStyles count="283">
    <cellStyle name="표준" xfId="0" builtinId="0"/>
    <cellStyle name="20% - 강조색1 2" xfId="1"/>
    <cellStyle name="20% - 강조색1 3" xfId="2"/>
    <cellStyle name="20% - 강조색2 2" xfId="3"/>
    <cellStyle name="20% - 강조색2 3" xfId="4"/>
    <cellStyle name="20% - 강조색3 2" xfId="5"/>
    <cellStyle name="20% - 강조색3 3" xfId="6"/>
    <cellStyle name="20% - 강조색4 2" xfId="7"/>
    <cellStyle name="20% - 강조색4 3" xfId="8"/>
    <cellStyle name="20% - 강조색5 2" xfId="9"/>
    <cellStyle name="20% - 강조색5 3" xfId="10"/>
    <cellStyle name="20% - 강조색6 2" xfId="11"/>
    <cellStyle name="20% - 강조색6 3" xfId="12"/>
    <cellStyle name="40% - 강조색1 2" xfId="13"/>
    <cellStyle name="40% - 강조색1 3" xfId="14"/>
    <cellStyle name="40% - 강조색2 2" xfId="15"/>
    <cellStyle name="40% - 강조색2 3" xfId="16"/>
    <cellStyle name="40% - 강조색3 2" xfId="17"/>
    <cellStyle name="40% - 강조색3 3" xfId="18"/>
    <cellStyle name="40% - 강조색4 2" xfId="19"/>
    <cellStyle name="40% - 강조색4 3" xfId="20"/>
    <cellStyle name="40% - 강조색5 2" xfId="21"/>
    <cellStyle name="40% - 강조색5 3" xfId="22"/>
    <cellStyle name="40% - 강조색6 2" xfId="23"/>
    <cellStyle name="40% - 강조색6 3" xfId="24"/>
    <cellStyle name="60% - 강조색1 2" xfId="25"/>
    <cellStyle name="60% - 강조색2 2" xfId="26"/>
    <cellStyle name="60% - 강조색3 2" xfId="27"/>
    <cellStyle name="60% - 강조색4 2" xfId="28"/>
    <cellStyle name="60% - 강조색5 2" xfId="29"/>
    <cellStyle name="60% - 강조색6 2" xfId="30"/>
    <cellStyle name="Excel Built-in Normal" xfId="31"/>
    <cellStyle name="강조색1 2" xfId="32"/>
    <cellStyle name="강조색2 2" xfId="33"/>
    <cellStyle name="강조색3 2" xfId="34"/>
    <cellStyle name="강조색4 2" xfId="35"/>
    <cellStyle name="강조색5 2" xfId="36"/>
    <cellStyle name="강조색6 2" xfId="37"/>
    <cellStyle name="경고문 2" xfId="38"/>
    <cellStyle name="계산 2" xfId="39"/>
    <cellStyle name="나쁨 2" xfId="40"/>
    <cellStyle name="메모 2" xfId="41"/>
    <cellStyle name="백분율 2" xfId="42"/>
    <cellStyle name="백분율 3" xfId="43"/>
    <cellStyle name="보통 2" xfId="44"/>
    <cellStyle name="설명 텍스트 2" xfId="45"/>
    <cellStyle name="셀 확인 2" xfId="46"/>
    <cellStyle name="쉼표 [0]" xfId="47" builtinId="6"/>
    <cellStyle name="쉼표 [0] 2" xfId="48"/>
    <cellStyle name="쉼표 [0] 3" xfId="49"/>
    <cellStyle name="쉼표 [0] 3 2" xfId="50"/>
    <cellStyle name="쉼표 [0] 4" xfId="51"/>
    <cellStyle name="스타일 1" xfId="52"/>
    <cellStyle name="연결된 셀 2" xfId="53"/>
    <cellStyle name="요약 2" xfId="54"/>
    <cellStyle name="입력 2" xfId="55"/>
    <cellStyle name="제목 1 2" xfId="56"/>
    <cellStyle name="제목 2 2" xfId="57"/>
    <cellStyle name="제목 3 2" xfId="58"/>
    <cellStyle name="제목 4 2" xfId="59"/>
    <cellStyle name="제목 5" xfId="60"/>
    <cellStyle name="좋음 2" xfId="61"/>
    <cellStyle name="출력 2" xfId="62"/>
    <cellStyle name="표준 2" xfId="63"/>
    <cellStyle name="표준 2 2" xfId="64"/>
    <cellStyle name="표준 3" xfId="65"/>
    <cellStyle name="표준 4" xfId="66"/>
    <cellStyle name="표준 4 3" xfId="67"/>
    <cellStyle name="표준_맥스무비 리뉴얼 견적서(fid)" xfId="68"/>
    <cellStyle name="표준_산출기초" xfId="69"/>
    <cellStyle name="하이퍼링크 2" xfId="70"/>
    <cellStyle name="표준 6" xfId="71"/>
    <cellStyle name="20% - 강조색1 2 3" xfId="72"/>
    <cellStyle name="20% - 강조색1 2 2" xfId="73"/>
    <cellStyle name="20% - 강조색1 3 3" xfId="74"/>
    <cellStyle name="20% - 강조색1 3 2" xfId="75"/>
    <cellStyle name="20% - 강조색2 2 3" xfId="76"/>
    <cellStyle name="20% - 강조색2 2 2" xfId="77"/>
    <cellStyle name="20% - 강조색2 3 3" xfId="78"/>
    <cellStyle name="20% - 강조색2 3 2" xfId="79"/>
    <cellStyle name="20% - 강조색3 2 3" xfId="80"/>
    <cellStyle name="20% - 강조색3 2 2" xfId="81"/>
    <cellStyle name="20% - 강조색3 3 3" xfId="82"/>
    <cellStyle name="20% - 강조색3 3 2" xfId="83"/>
    <cellStyle name="20% - 강조색4 2 3" xfId="84"/>
    <cellStyle name="20% - 강조색4 2 2" xfId="85"/>
    <cellStyle name="20% - 강조색4 3 3" xfId="86"/>
    <cellStyle name="20% - 강조색4 3 2" xfId="87"/>
    <cellStyle name="20% - 강조색5 2 3" xfId="88"/>
    <cellStyle name="20% - 강조색5 2 2" xfId="89"/>
    <cellStyle name="20% - 강조색5 3 3" xfId="90"/>
    <cellStyle name="20% - 강조색5 3 2" xfId="91"/>
    <cellStyle name="20% - 강조색6 2 3" xfId="92"/>
    <cellStyle name="20% - 강조색6 2 2" xfId="93"/>
    <cellStyle name="20% - 강조색6 3 3" xfId="94"/>
    <cellStyle name="20% - 강조색6 3 2" xfId="95"/>
    <cellStyle name="40% - 강조색1 2 3" xfId="96"/>
    <cellStyle name="40% - 강조색1 2 2" xfId="97"/>
    <cellStyle name="40% - 강조색1 3 3" xfId="98"/>
    <cellStyle name="40% - 강조색1 3 2" xfId="99"/>
    <cellStyle name="40% - 강조색2 2 3" xfId="100"/>
    <cellStyle name="40% - 강조색2 2 2" xfId="101"/>
    <cellStyle name="40% - 강조색2 3 3" xfId="102"/>
    <cellStyle name="40% - 강조색2 3 2" xfId="103"/>
    <cellStyle name="40% - 강조색3 2 3" xfId="104"/>
    <cellStyle name="40% - 강조색3 2 2" xfId="105"/>
    <cellStyle name="40% - 강조색3 3 3" xfId="106"/>
    <cellStyle name="40% - 강조색3 3 2" xfId="107"/>
    <cellStyle name="40% - 강조색4 2 3" xfId="108"/>
    <cellStyle name="40% - 강조색4 2 2" xfId="109"/>
    <cellStyle name="40% - 강조색4 3 3" xfId="110"/>
    <cellStyle name="40% - 강조색4 3 2" xfId="111"/>
    <cellStyle name="40% - 강조색5 2 3" xfId="112"/>
    <cellStyle name="40% - 강조색5 2 2" xfId="113"/>
    <cellStyle name="40% - 강조색5 3 3" xfId="114"/>
    <cellStyle name="40% - 강조색5 3 2" xfId="115"/>
    <cellStyle name="40% - 강조색6 2 3" xfId="116"/>
    <cellStyle name="40% - 강조색6 2 2" xfId="117"/>
    <cellStyle name="40% - 강조색6 3 3" xfId="118"/>
    <cellStyle name="40% - 강조색6 3 2" xfId="119"/>
    <cellStyle name="60% - 강조색1 2 3" xfId="120"/>
    <cellStyle name="60% - 강조색1 2 2" xfId="121"/>
    <cellStyle name="60% - 강조색2 2 3" xfId="122"/>
    <cellStyle name="60% - 강조색2 2 2" xfId="123"/>
    <cellStyle name="60% - 강조색3 2 3" xfId="124"/>
    <cellStyle name="60% - 강조색3 2 2" xfId="125"/>
    <cellStyle name="60% - 강조색4 2 3" xfId="126"/>
    <cellStyle name="60% - 강조색4 2 2" xfId="127"/>
    <cellStyle name="60% - 강조색5 2 3" xfId="128"/>
    <cellStyle name="60% - 강조색5 2 2" xfId="129"/>
    <cellStyle name="60% - 강조색6 2 3" xfId="130"/>
    <cellStyle name="60% - 강조색6 2 2" xfId="131"/>
    <cellStyle name="Excel Built-in Normal 3" xfId="132"/>
    <cellStyle name="Excel Built-in Normal 2" xfId="133"/>
    <cellStyle name="강조색1 2 3" xfId="134"/>
    <cellStyle name="강조색1 2 2" xfId="135"/>
    <cellStyle name="강조색2 2 3" xfId="136"/>
    <cellStyle name="강조색2 2 2" xfId="137"/>
    <cellStyle name="강조색3 2 3" xfId="138"/>
    <cellStyle name="강조색3 2 2" xfId="139"/>
    <cellStyle name="강조색4 2 3" xfId="140"/>
    <cellStyle name="강조색4 2 2" xfId="141"/>
    <cellStyle name="강조색5 2 3" xfId="142"/>
    <cellStyle name="강조색5 2 2" xfId="143"/>
    <cellStyle name="강조색6 2 3" xfId="144"/>
    <cellStyle name="강조색6 2 2" xfId="145"/>
    <cellStyle name="경고문 2 3" xfId="146"/>
    <cellStyle name="경고문 2 2" xfId="147"/>
    <cellStyle name="계산 2 3" xfId="148"/>
    <cellStyle name="계산 2 2" xfId="149"/>
    <cellStyle name="나쁨 2 3" xfId="150"/>
    <cellStyle name="나쁨 2 2" xfId="151"/>
    <cellStyle name="메모 2 3" xfId="152"/>
    <cellStyle name="메모 2 2" xfId="153"/>
    <cellStyle name="백분율 2 3" xfId="154"/>
    <cellStyle name="백분율 2 2" xfId="155"/>
    <cellStyle name="백분율 3 3" xfId="156"/>
    <cellStyle name="백분율 3 2" xfId="157"/>
    <cellStyle name="보통 2 3" xfId="158"/>
    <cellStyle name="보통 2 2" xfId="159"/>
    <cellStyle name="설명 텍스트 2 3" xfId="160"/>
    <cellStyle name="설명 텍스트 2 2" xfId="161"/>
    <cellStyle name="셀 확인 2 3" xfId="162"/>
    <cellStyle name="셀 확인 2 2" xfId="163"/>
    <cellStyle name="쉼표 [0] 6" xfId="164"/>
    <cellStyle name="쉼표 [0] 2 3" xfId="165"/>
    <cellStyle name="쉼표 [0] 2 2" xfId="166"/>
    <cellStyle name="쉼표 [0] 3 4" xfId="167"/>
    <cellStyle name="쉼표 [0] 3 2 3" xfId="168"/>
    <cellStyle name="쉼표 [0] 3 2 2" xfId="169"/>
    <cellStyle name="쉼표 [0] 3 3" xfId="170"/>
    <cellStyle name="쉼표 [0] 4 3" xfId="171"/>
    <cellStyle name="쉼표 [0] 4 2" xfId="172"/>
    <cellStyle name="쉼표 [0] 5" xfId="173"/>
    <cellStyle name="연결된 셀 2 3" xfId="174"/>
    <cellStyle name="연결된 셀 2 2" xfId="175"/>
    <cellStyle name="요약 2 3" xfId="176"/>
    <cellStyle name="요약 2 2" xfId="177"/>
    <cellStyle name="입력 2 3" xfId="178"/>
    <cellStyle name="입력 2 2" xfId="179"/>
    <cellStyle name="제목 1 2 3" xfId="180"/>
    <cellStyle name="제목 1 2 2" xfId="181"/>
    <cellStyle name="제목 2 2 3" xfId="182"/>
    <cellStyle name="제목 2 2 2" xfId="183"/>
    <cellStyle name="제목 3 2 3" xfId="184"/>
    <cellStyle name="제목 3 2 2" xfId="185"/>
    <cellStyle name="제목 4 2 3" xfId="186"/>
    <cellStyle name="제목 4 2 2" xfId="187"/>
    <cellStyle name="제목 5 3" xfId="188"/>
    <cellStyle name="제목 5 2" xfId="189"/>
    <cellStyle name="좋음 2 3" xfId="190"/>
    <cellStyle name="좋음 2 2" xfId="191"/>
    <cellStyle name="출력 2 3" xfId="192"/>
    <cellStyle name="출력 2 2" xfId="193"/>
    <cellStyle name="표준 2 4" xfId="194"/>
    <cellStyle name="표준 2 2 3" xfId="195"/>
    <cellStyle name="표준 2 2 2" xfId="196"/>
    <cellStyle name="표준 2 3" xfId="197"/>
    <cellStyle name="표준 3 3" xfId="198"/>
    <cellStyle name="표준 3 2" xfId="199"/>
    <cellStyle name="표준 4 4" xfId="200"/>
    <cellStyle name="표준 4 2" xfId="201"/>
    <cellStyle name="표준 4 3 3" xfId="202"/>
    <cellStyle name="표준 4 3 2" xfId="203"/>
    <cellStyle name="표준 5" xfId="204"/>
    <cellStyle name="표준_산출기초 2" xfId="205"/>
    <cellStyle name="하이퍼링크 2 3" xfId="206"/>
    <cellStyle name="하이퍼링크 2 2" xfId="207"/>
    <cellStyle name="20% - 강조색1 2 2 2" xfId="208"/>
    <cellStyle name="20% - 강조색1 3 2 2" xfId="209"/>
    <cellStyle name="20% - 강조색2 2 2 2" xfId="210"/>
    <cellStyle name="20% - 강조색2 3 2 2" xfId="211"/>
    <cellStyle name="20% - 강조색3 2 2 2" xfId="212"/>
    <cellStyle name="20% - 강조색3 3 2 2" xfId="213"/>
    <cellStyle name="20% - 강조색4 2 2 2" xfId="214"/>
    <cellStyle name="20% - 강조색4 3 2 2" xfId="215"/>
    <cellStyle name="20% - 강조색5 2 2 2" xfId="216"/>
    <cellStyle name="20% - 강조색5 3 2 2" xfId="217"/>
    <cellStyle name="20% - 강조색6 2 2 2" xfId="218"/>
    <cellStyle name="20% - 강조색6 3 2 2" xfId="219"/>
    <cellStyle name="40% - 강조색1 2 2 2" xfId="220"/>
    <cellStyle name="40% - 강조색1 3 2 2" xfId="221"/>
    <cellStyle name="40% - 강조색2 2 2 2" xfId="222"/>
    <cellStyle name="40% - 강조색2 3 2 2" xfId="223"/>
    <cellStyle name="40% - 강조색3 2 2 2" xfId="224"/>
    <cellStyle name="40% - 강조색3 3 2 2" xfId="225"/>
    <cellStyle name="40% - 강조색4 2 2 2" xfId="226"/>
    <cellStyle name="40% - 강조색4 3 2 2" xfId="227"/>
    <cellStyle name="40% - 강조색5 2 2 2" xfId="228"/>
    <cellStyle name="40% - 강조색5 3 2 2" xfId="229"/>
    <cellStyle name="40% - 강조색6 2 2 2" xfId="230"/>
    <cellStyle name="40% - 강조색6 3 2 2" xfId="231"/>
    <cellStyle name="60% - 강조색1 2 2 2" xfId="232"/>
    <cellStyle name="60% - 강조색2 2 2 2" xfId="233"/>
    <cellStyle name="60% - 강조색3 2 2 2" xfId="234"/>
    <cellStyle name="60% - 강조색4 2 2 2" xfId="235"/>
    <cellStyle name="60% - 강조색5 2 2 2" xfId="236"/>
    <cellStyle name="60% - 강조색6 2 2 2" xfId="237"/>
    <cellStyle name="Excel Built-in Normal 2 2" xfId="238"/>
    <cellStyle name="강조색1 2 2 2" xfId="239"/>
    <cellStyle name="강조색2 2 2 2" xfId="240"/>
    <cellStyle name="강조색3 2 2 2" xfId="241"/>
    <cellStyle name="강조색4 2 2 2" xfId="242"/>
    <cellStyle name="강조색5 2 2 2" xfId="243"/>
    <cellStyle name="강조색6 2 2 2" xfId="244"/>
    <cellStyle name="경고문 2 2 2" xfId="245"/>
    <cellStyle name="계산 2 2 2" xfId="246"/>
    <cellStyle name="나쁨 2 2 2" xfId="247"/>
    <cellStyle name="메모 2 2 2" xfId="248"/>
    <cellStyle name="백분율 2 2 2" xfId="249"/>
    <cellStyle name="보통 2 2 2" xfId="250"/>
    <cellStyle name="설명 텍스트 2 2 2" xfId="251"/>
    <cellStyle name="셀 확인 2 2 2" xfId="252"/>
    <cellStyle name="쉼표 [0] 2 2 2" xfId="253"/>
    <cellStyle name="쉼표 [0] 5 2" xfId="254"/>
    <cellStyle name="연결된 셀 2 2 2" xfId="255"/>
    <cellStyle name="요약 2 2 2" xfId="256"/>
    <cellStyle name="입력 2 2 2" xfId="257"/>
    <cellStyle name="제목 1 2 2 2" xfId="258"/>
    <cellStyle name="제목 2 2 2 2" xfId="259"/>
    <cellStyle name="제목 3 2 2 2" xfId="260"/>
    <cellStyle name="제목 4 2 2 2" xfId="261"/>
    <cellStyle name="제목 5 2 2" xfId="262"/>
    <cellStyle name="좋음 2 2 2" xfId="263"/>
    <cellStyle name="출력 2 2 2" xfId="264"/>
    <cellStyle name="표준 2 3 2" xfId="265"/>
    <cellStyle name="표준 5 2" xfId="266"/>
    <cellStyle name="백분율 3 3 2" xfId="267"/>
    <cellStyle name="백분율 3 2 2" xfId="268"/>
    <cellStyle name="쉼표 [0] 3 4 2" xfId="269"/>
    <cellStyle name="쉼표 [0] 3 2 3 2" xfId="270"/>
    <cellStyle name="쉼표 [0] 3 2 2 2" xfId="271"/>
    <cellStyle name="쉼표 [0] 3 3 2" xfId="272"/>
    <cellStyle name="쉼표 [0] 4 3 2" xfId="273"/>
    <cellStyle name="쉼표 [0] 4 2 2" xfId="274"/>
    <cellStyle name="표준 2 2 3 2" xfId="275"/>
    <cellStyle name="표준 2 2 2 2" xfId="276"/>
    <cellStyle name="표준 3 3 2" xfId="277"/>
    <cellStyle name="표준 3 2 2" xfId="278"/>
    <cellStyle name="표준 4 4 2" xfId="279"/>
    <cellStyle name="표준 4 2 2" xfId="280"/>
    <cellStyle name="표준 4 3 3 2" xfId="281"/>
    <cellStyle name="표준 4 3 2 2" xfId="28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31808</colOff>
      <row>0</row>
      <rowOff>30812</rowOff>
    </from>
    <to>
      <col>2</col>
      <colOff>613007</colOff>
      <row>1</row>
      <rowOff>305132</rowOff>
    </to>
    <pic>
      <nvPicPr>
        <cNvPr id="11528" name="Picture 2" descr="konan_0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1808" y="30812"/>
          <a:ext cx="1777779" cy="51285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10</col>
      <colOff>580241</colOff>
      <row>7</row>
      <rowOff>72167</rowOff>
    </from>
    <to>
      <col>10</col>
      <colOff>1201271</colOff>
      <row>9</row>
      <rowOff>72951</rowOff>
    </to>
    <pic>
      <nvPicPr>
        <cNvPr id="11529" name="_x248297832" descr="EMB00001a4c23e8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782947" y="1965961"/>
          <a:ext cx="621030" cy="49384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D88"/>
  <sheetViews>
    <sheetView tabSelected="1" topLeftCell="A59" zoomScale="85" zoomScaleNormal="85" workbookViewId="0">
      <selection activeCell="O89" sqref="O89"/>
    </sheetView>
  </sheetViews>
  <sheetFormatPr baseColWidth="8" defaultRowHeight="13.2"/>
  <cols>
    <col width="7.796875" customWidth="1" style="1" min="1" max="1"/>
    <col width="8" customWidth="1" style="1" min="2" max="2"/>
    <col width="9.796875" customWidth="1" style="1" min="3" max="3"/>
    <col width="9.3984375" customWidth="1" style="1" min="4" max="4"/>
    <col width="2.69921875" customWidth="1" style="1" min="5" max="5"/>
    <col width="36.796875" customWidth="1" style="1" min="6" max="6"/>
    <col width="12.69921875" customWidth="1" style="1" min="7" max="9"/>
    <col width="7.59765625" customWidth="1" style="1" min="10" max="10"/>
    <col width="16.3984375" customWidth="1" style="1" min="11" max="11"/>
    <col width="1" customWidth="1" style="1" min="12" max="12"/>
    <col width="8.8984375" customWidth="1" style="1" min="13" max="30"/>
    <col width="8.796875" customWidth="1" style="1" min="31" max="16384"/>
  </cols>
  <sheetData>
    <row r="1" ht="18.75" customHeight="1"/>
    <row r="2" ht="33" customFormat="1" customHeight="1" s="3">
      <c r="A2" s="119" t="inlineStr">
        <is>
          <t>견 적 서</t>
        </is>
      </c>
    </row>
    <row r="3" ht="15" customFormat="1" customHeight="1" s="3">
      <c r="A3" s="124">
        <f>"(QKL"&amp;TEXT(K4,"yymmdd")&amp;"-JH01)"</f>
        <v/>
      </c>
    </row>
    <row r="4" ht="15.75" customFormat="1" customHeight="1" s="15">
      <c r="A4" s="20" t="n"/>
      <c r="B4" s="21" t="n"/>
      <c r="C4" s="22" t="n"/>
      <c r="D4" s="20" t="n"/>
      <c r="E4" s="20" t="n"/>
      <c r="F4" s="20" t="n"/>
      <c r="G4" s="20" t="n"/>
      <c r="H4" s="20" t="n"/>
      <c r="I4" s="20" t="n"/>
      <c r="J4" s="20" t="n"/>
      <c r="K4" s="131" t="n">
        <v>46303</v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 ht="15.75" customFormat="1" customHeight="1" s="15">
      <c r="A5" s="20" t="n"/>
      <c r="B5" s="21" t="n"/>
      <c r="C5" s="24" t="n"/>
      <c r="D5" s="20" t="n"/>
      <c r="E5" s="20" t="n"/>
      <c r="F5" s="20" t="n"/>
      <c r="G5" s="20" t="n"/>
      <c r="H5" s="20" t="n"/>
      <c r="I5" s="20" t="n"/>
      <c r="J5" s="20" t="n"/>
      <c r="K5" s="46" t="inlineStr">
        <is>
          <t>담당 : 과장 장훈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 ht="31.2" customFormat="1" customHeight="1" s="15" thickBot="1">
      <c r="A6" s="25" t="n"/>
      <c r="B6" s="26" t="n"/>
      <c r="C6" s="26" t="n"/>
      <c r="D6" s="26" t="n"/>
      <c r="E6" s="125" t="inlineStr">
        <is>
          <t>cell : 010-6863-2579
Fax : +82.2.3469.8599     Tel : +82.2.3469.8564     e-mail : hoon.jang@konantech.com</t>
        </is>
      </c>
      <c r="F6" s="132" t="n"/>
      <c r="G6" s="132" t="n"/>
      <c r="H6" s="132" t="n"/>
      <c r="I6" s="132" t="n"/>
      <c r="J6" s="132" t="n"/>
      <c r="K6" s="13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</row>
    <row r="7" ht="20.25" customFormat="1" customHeight="1" s="3">
      <c r="A7" s="47" t="inlineStr">
        <is>
          <t>수신 : 한국가스안전공사 귀중</t>
        </is>
      </c>
      <c r="B7" s="47" t="n"/>
      <c r="C7" s="47" t="n"/>
      <c r="D7" s="47" t="n"/>
      <c r="E7" s="48" t="n"/>
      <c r="F7" s="48" t="n"/>
      <c r="G7" s="133" t="n"/>
      <c r="H7" s="29" t="n"/>
      <c r="I7" s="29" t="n"/>
      <c r="J7" s="29" t="inlineStr">
        <is>
          <t>서울시 서초구 강남대로 327</t>
        </is>
      </c>
      <c r="K7" s="29" t="n"/>
    </row>
    <row r="8" ht="20.25" customFormat="1" customHeight="1" s="3">
      <c r="A8" s="30" t="n"/>
      <c r="B8" s="31" t="n"/>
      <c r="C8" s="31" t="n"/>
      <c r="D8" s="31" t="n"/>
      <c r="E8" s="27" t="n"/>
      <c r="F8" s="27" t="n"/>
      <c r="G8" s="133" t="n"/>
      <c r="H8" s="29" t="n"/>
      <c r="I8" s="29" t="n"/>
      <c r="J8" s="29" t="inlineStr">
        <is>
          <t>대륭서초타워 6, 7층</t>
        </is>
      </c>
      <c r="K8" s="29" t="n"/>
    </row>
    <row r="9" ht="20.25" customFormat="1" customHeight="1" s="3">
      <c r="A9" s="30" t="n"/>
      <c r="B9" s="31" t="n"/>
      <c r="C9" s="31" t="n"/>
      <c r="D9" s="31" t="n"/>
      <c r="E9" s="27" t="n"/>
      <c r="F9" s="27" t="n"/>
      <c r="G9" s="133" t="n"/>
      <c r="H9" s="29" t="n"/>
      <c r="I9" s="29" t="n"/>
      <c r="J9" s="29" t="inlineStr">
        <is>
          <t>㈜ 코난테크놀로지</t>
        </is>
      </c>
      <c r="K9" s="29" t="n"/>
    </row>
    <row r="10" ht="20.25" customFormat="1" customHeight="1" s="3">
      <c r="A10" s="71" t="inlineStr">
        <is>
          <t>가스안전 AI 어드바이저 2.0 고도화 사업' 에 대한 견적입니다.</t>
        </is>
      </c>
      <c r="B10" s="32" t="n"/>
      <c r="C10" s="32" t="n"/>
      <c r="D10" s="32" t="n"/>
      <c r="E10" s="32" t="n"/>
      <c r="F10" s="32" t="n"/>
      <c r="G10" s="32" t="n"/>
      <c r="H10" s="32" t="n"/>
      <c r="I10" s="33" t="n"/>
      <c r="J10" s="32" t="inlineStr">
        <is>
          <t>대표이사    김    영    섬</t>
        </is>
      </c>
      <c r="K10" s="34" t="n"/>
    </row>
    <row r="11" ht="20.25" customFormat="1" customHeight="1" s="3" thickBot="1">
      <c r="A11" s="121">
        <f>"총 견적가 : 일금 "&amp;NUMBERSTRING(K23,1)&amp;"원정 (\"&amp;TEXT(K23,"#,###")&amp;"원/VAT별도)"</f>
        <v/>
      </c>
      <c r="B11" s="134" t="n"/>
      <c r="C11" s="134" t="n"/>
      <c r="D11" s="134" t="n"/>
      <c r="E11" s="134" t="n"/>
      <c r="F11" s="134" t="n"/>
      <c r="G11" s="134" t="n"/>
      <c r="H11" s="134" t="n"/>
      <c r="I11" s="134" t="n"/>
      <c r="J11" s="134" t="n"/>
      <c r="K11" s="134" t="n"/>
    </row>
    <row r="12" ht="14.25" customHeight="1">
      <c r="A12" s="40" t="n"/>
      <c r="B12" s="40" t="n"/>
      <c r="C12" s="40" t="n"/>
      <c r="D12" s="40" t="n"/>
      <c r="E12" s="40" t="n"/>
      <c r="F12" s="40" t="n"/>
      <c r="G12" s="135" t="n"/>
      <c r="H12" s="135" t="n"/>
      <c r="I12" s="42" t="n"/>
      <c r="J12" s="135" t="n"/>
      <c r="K12" s="135" t="n"/>
    </row>
    <row r="13" thickBot="1">
      <c r="A13" s="30" t="inlineStr">
        <is>
          <t>총 견적내역</t>
        </is>
      </c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  <c r="AA13" s="37" t="n"/>
      <c r="AB13" s="37" t="n"/>
      <c r="AC13" s="37" t="n"/>
      <c r="AD13" s="37" t="n"/>
    </row>
    <row r="14" ht="7.5" customFormat="1" customHeight="1" s="2" thickBot="1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  <c r="AA14" s="37" t="n"/>
      <c r="AB14" s="37" t="n"/>
      <c r="AC14" s="37" t="n"/>
      <c r="AD14" s="37" t="n"/>
    </row>
    <row r="15" ht="18.75" customFormat="1" customHeight="1" s="2">
      <c r="A15" s="122" t="inlineStr">
        <is>
          <t>구 분</t>
        </is>
      </c>
      <c r="B15" s="136" t="n"/>
      <c r="C15" s="136" t="n"/>
      <c r="D15" s="137" t="n"/>
      <c r="E15" s="123" t="inlineStr">
        <is>
          <t>내 역</t>
        </is>
      </c>
      <c r="F15" s="136" t="n"/>
      <c r="G15" s="136" t="n"/>
      <c r="H15" s="136" t="n"/>
      <c r="I15" s="136" t="n"/>
      <c r="J15" s="137" t="n"/>
      <c r="K15" s="39" t="inlineStr">
        <is>
          <t>금액</t>
        </is>
      </c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</row>
    <row r="16" ht="34.2" customFormat="1" customHeight="1" s="18">
      <c r="A16" s="138" t="inlineStr">
        <is>
          <t>1. 도입인프라(H/W)</t>
        </is>
      </c>
      <c r="B16" s="134" t="n"/>
      <c r="C16" s="134" t="n"/>
      <c r="D16" s="130" t="n"/>
      <c r="E16" s="139" t="inlineStr">
        <is>
          <t>AI 추론·RAG 문서구조화·AI-Ops 서버, 네트워크 — 견적 수령 후 별도 제출(본 견적가 미포함)</t>
        </is>
      </c>
      <c r="F16" s="134" t="n"/>
      <c r="G16" s="134" t="n"/>
      <c r="H16" s="134" t="n"/>
      <c r="I16" s="134" t="n"/>
      <c r="J16" s="130" t="n"/>
      <c r="K16" s="140" t="inlineStr">
        <is>
          <t>별도</t>
        </is>
      </c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</row>
    <row r="17" ht="34.2" customFormat="1" customHeight="1" s="18">
      <c r="A17" s="141">
        <f>A35</f>
        <v/>
      </c>
      <c r="B17" s="134" t="n"/>
      <c r="C17" s="134" t="n"/>
      <c r="D17" s="130" t="n"/>
      <c r="E17" s="113" t="inlineStr">
        <is>
          <t>DRM 보안SW 1식, SSO 인증서버SW 1식, STT 엔진 1식</t>
        </is>
      </c>
      <c r="F17" s="134" t="n"/>
      <c r="G17" s="134" t="n"/>
      <c r="H17" s="134" t="n"/>
      <c r="I17" s="134" t="n"/>
      <c r="J17" s="130" t="n"/>
      <c r="K17" s="142">
        <f>K40</f>
        <v/>
      </c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</row>
    <row r="18" ht="34.2" customFormat="1" customHeight="1" s="18">
      <c r="A18" s="141">
        <f>A43</f>
        <v/>
      </c>
      <c r="B18" s="134" t="n"/>
      <c r="C18" s="134" t="n"/>
      <c r="D18" s="130" t="n"/>
      <c r="E18" s="113">
        <f>"IT PM 포함 "&amp;TEXT(J49,"0.0")&amp;"M/M"</f>
        <v/>
      </c>
      <c r="F18" s="134" t="n"/>
      <c r="G18" s="134" t="n"/>
      <c r="H18" s="134" t="n"/>
      <c r="I18" s="134" t="n"/>
      <c r="J18" s="130" t="n"/>
      <c r="K18" s="142">
        <f>K49</f>
        <v/>
      </c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  <c r="AC18" s="37" t="n"/>
      <c r="AD18" s="37" t="n"/>
    </row>
    <row r="19" ht="34.2" customFormat="1" customHeight="1" s="18">
      <c r="A19" s="141">
        <f>A52</f>
        <v/>
      </c>
      <c r="B19" s="134" t="n"/>
      <c r="C19" s="134" t="n"/>
      <c r="D19" s="130" t="n"/>
      <c r="E19" s="113">
        <f>"IT PM 포함 "&amp;TEXT(J58,"0.0")&amp;"M/M"</f>
        <v/>
      </c>
      <c r="F19" s="134" t="n"/>
      <c r="G19" s="134" t="n"/>
      <c r="H19" s="134" t="n"/>
      <c r="I19" s="134" t="n"/>
      <c r="J19" s="130" t="n"/>
      <c r="K19" s="142">
        <f>K58</f>
        <v/>
      </c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  <c r="AA19" s="37" t="n"/>
      <c r="AB19" s="37" t="n"/>
      <c r="AC19" s="37" t="n"/>
      <c r="AD19" s="37" t="n"/>
    </row>
    <row r="20" ht="34.2" customFormat="1" customHeight="1" s="18">
      <c r="A20" s="141">
        <f>A61</f>
        <v/>
      </c>
      <c r="B20" s="134" t="n"/>
      <c r="C20" s="134" t="n"/>
      <c r="D20" s="130" t="n"/>
      <c r="E20" s="113">
        <f>"IT PM 포함 "&amp;TEXT(J69,"0.0")&amp;"M/M"</f>
        <v/>
      </c>
      <c r="F20" s="134" t="n"/>
      <c r="G20" s="134" t="n"/>
      <c r="H20" s="134" t="n"/>
      <c r="I20" s="134" t="n"/>
      <c r="J20" s="130" t="n"/>
      <c r="K20" s="142">
        <f>K69</f>
        <v/>
      </c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  <c r="AA20" s="37" t="n"/>
      <c r="AB20" s="37" t="n"/>
      <c r="AC20" s="37" t="n"/>
      <c r="AD20" s="37" t="n"/>
    </row>
    <row r="21" ht="34.2" customFormat="1" customHeight="1" s="2" thickBot="1">
      <c r="A21" s="141">
        <f>A72</f>
        <v/>
      </c>
      <c r="B21" s="134" t="n"/>
      <c r="C21" s="134" t="n"/>
      <c r="D21" s="130" t="n"/>
      <c r="E21" s="113">
        <f>"IT PM 포함 "&amp;TEXT(J78,"0.0")&amp;"M/M"</f>
        <v/>
      </c>
      <c r="F21" s="134" t="n"/>
      <c r="G21" s="134" t="n"/>
      <c r="H21" s="134" t="n"/>
      <c r="I21" s="134" t="n"/>
      <c r="J21" s="130" t="n"/>
      <c r="K21" s="142">
        <f>K78</f>
        <v/>
      </c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  <c r="AA21" s="37" t="n"/>
      <c r="AB21" s="37" t="n"/>
      <c r="AC21" s="37" t="n"/>
      <c r="AD21" s="37" t="n"/>
    </row>
    <row r="22" ht="23.1" customHeight="1">
      <c r="A22" s="141" t="inlineStr">
        <is>
          <t>단수 조정</t>
        </is>
      </c>
      <c r="B22" s="134" t="n"/>
      <c r="C22" s="134" t="n"/>
      <c r="D22" s="130" t="n"/>
      <c r="E22" s="113" t="inlineStr">
        <is>
          <t>목표 견적가 기준 원 단위 조정</t>
        </is>
      </c>
      <c r="F22" s="134" t="n"/>
      <c r="G22" s="134" t="n"/>
      <c r="H22" s="134" t="n"/>
      <c r="I22" s="134" t="n"/>
      <c r="J22" s="130" t="n"/>
      <c r="K22" s="142">
        <f>-MOD(SUM(K17:K21),1000000)</f>
        <v/>
      </c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  <c r="AA22" s="37" t="n"/>
      <c r="AB22" s="37" t="n"/>
      <c r="AC22" s="37" t="n"/>
      <c r="AD22" s="37" t="n"/>
    </row>
    <row r="23" ht="23.1" customHeight="1">
      <c r="A23" s="143" t="inlineStr">
        <is>
          <t>총 계(부가가치세 별도)</t>
        </is>
      </c>
      <c r="B23" s="144" t="n"/>
      <c r="C23" s="144" t="n"/>
      <c r="D23" s="144" t="n"/>
      <c r="E23" s="144" t="n"/>
      <c r="F23" s="144" t="n"/>
      <c r="G23" s="144" t="n"/>
      <c r="H23" s="144" t="n"/>
      <c r="I23" s="144" t="n"/>
      <c r="J23" s="145" t="n"/>
      <c r="K23" s="146">
        <f>SUM(K16:K22)</f>
        <v/>
      </c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  <c r="AA23" s="37" t="n"/>
      <c r="AB23" s="37" t="n"/>
      <c r="AC23" s="37" t="n"/>
      <c r="AD23" s="37" t="n"/>
    </row>
    <row r="24" ht="3" customFormat="1" customHeight="1" s="17" thickBot="1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  <c r="AA24" s="37" t="n"/>
      <c r="AB24" s="37" t="n"/>
      <c r="AC24" s="37" t="n"/>
      <c r="AD24" s="37" t="n"/>
    </row>
    <row r="25" ht="3" customFormat="1" customHeight="1" s="2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  <c r="AA25" s="37" t="n"/>
      <c r="AB25" s="37" t="n"/>
      <c r="AC25" s="37" t="n"/>
      <c r="AD25" s="37" t="n"/>
    </row>
    <row r="26" customFormat="1" s="2">
      <c r="A26" s="30" t="inlineStr">
        <is>
          <t>1. 도입인프라(H/W) - 견적 수령 후 별도 제출 (본 견적가 미포함)</t>
        </is>
      </c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  <c r="AA26" s="37" t="n"/>
      <c r="AB26" s="37" t="n"/>
      <c r="AC26" s="37" t="n"/>
      <c r="AD26" s="37" t="n"/>
    </row>
    <row r="27" ht="18" customFormat="1" customHeight="1" s="2">
      <c r="A27" s="147" t="inlineStr">
        <is>
          <t>용도</t>
        </is>
      </c>
      <c r="B27" s="137" t="n"/>
      <c r="C27" s="43" t="inlineStr">
        <is>
          <t>제품명</t>
        </is>
      </c>
      <c r="D27" s="137" t="n"/>
      <c r="E27" s="43" t="inlineStr">
        <is>
          <t>상세 내역</t>
        </is>
      </c>
      <c r="F27" s="136" t="n"/>
      <c r="G27" s="136" t="n"/>
      <c r="H27" s="137" t="n"/>
      <c r="I27" s="43" t="inlineStr">
        <is>
          <t>납품단가</t>
        </is>
      </c>
      <c r="J27" s="43" t="inlineStr">
        <is>
          <t>수량</t>
        </is>
      </c>
      <c r="K27" s="53" t="inlineStr">
        <is>
          <t>제안가</t>
        </is>
      </c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  <c r="AA27" s="37" t="n"/>
      <c r="AB27" s="37" t="n"/>
      <c r="AC27" s="37" t="n"/>
      <c r="AD27" s="37" t="n"/>
    </row>
    <row r="28" ht="49.2" customFormat="1" customHeight="1" s="2">
      <c r="A28" s="148" t="inlineStr">
        <is>
          <t>AI 추론 서버</t>
        </is>
      </c>
      <c r="B28" s="130" t="n"/>
      <c r="C28" s="103" t="inlineStr">
        <is>
          <t>DL380a Gen12 8DW</t>
        </is>
      </c>
      <c r="D28" s="130" t="n"/>
      <c r="E28" s="104" t="inlineStr">
        <is>
          <t xml:space="preserve"> - 6740P 2.1GHz 2P/96C
 - Memory 256GB
 - RTX PRO 6000 Blackwell 96GB * 4</t>
        </is>
      </c>
      <c r="F28" s="134" t="n"/>
      <c r="G28" s="134" t="n"/>
      <c r="H28" s="130" t="n"/>
      <c r="I28" s="149" t="n"/>
      <c r="J28" s="150" t="n">
        <v>1</v>
      </c>
      <c r="K28" s="151">
        <f>I28*J28</f>
        <v/>
      </c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  <c r="AA28" s="37" t="n"/>
      <c r="AB28" s="37" t="n"/>
      <c r="AC28" s="37" t="n"/>
      <c r="AD28" s="37" t="n"/>
    </row>
    <row r="29" ht="49.2" customFormat="1" customHeight="1" s="2">
      <c r="A29" s="148" t="inlineStr">
        <is>
          <t>RAG-문서구조화 서버
(메모리512GB)</t>
        </is>
      </c>
      <c r="B29" s="130" t="n"/>
      <c r="C29" s="103" t="inlineStr">
        <is>
          <t>DL380a Gen12 8DW</t>
        </is>
      </c>
      <c r="D29" s="130" t="n"/>
      <c r="E29" s="104" t="inlineStr">
        <is>
          <t xml:space="preserve"> - 6530P 2.3GHz 2P/64C
 - Memory 512GB
 - Drive : 7.68TB NVMe*2 (Usable 6TB)
 - RTX PRO 6000 Blackwell 96GB * 2</t>
        </is>
      </c>
      <c r="F29" s="134" t="n"/>
      <c r="G29" s="134" t="n"/>
      <c r="H29" s="130" t="n"/>
      <c r="I29" s="149" t="n"/>
      <c r="J29" s="150" t="n">
        <v>1</v>
      </c>
      <c r="K29" s="151">
        <f>I29*J29</f>
        <v/>
      </c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  <c r="AA29" s="37" t="n"/>
      <c r="AB29" s="37" t="n"/>
      <c r="AC29" s="37" t="n"/>
      <c r="AD29" s="37" t="n"/>
    </row>
    <row r="30" ht="49.2" customFormat="1" customHeight="1" s="2" thickBot="1">
      <c r="A30" s="148" t="inlineStr">
        <is>
          <t>AI-Ops, Agent-Ops 서버</t>
        </is>
      </c>
      <c r="B30" s="130" t="n"/>
      <c r="C30" s="103" t="inlineStr">
        <is>
          <t>DL380 Gen12 8SFF</t>
        </is>
      </c>
      <c r="D30" s="130" t="n"/>
      <c r="E30" s="104" t="inlineStr">
        <is>
          <t xml:space="preserve"> - 6517P 3.2GHz 2P/32C
 - Memory 64GB
 - 3.84TB SSD*2</t>
        </is>
      </c>
      <c r="F30" s="134" t="n"/>
      <c r="G30" s="134" t="n"/>
      <c r="H30" s="130" t="n"/>
      <c r="I30" s="149" t="n"/>
      <c r="J30" s="150" t="n">
        <v>1</v>
      </c>
      <c r="K30" s="151">
        <f>I30*J30</f>
        <v/>
      </c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  <c r="AC30" s="37" t="n"/>
      <c r="AD30" s="37" t="n"/>
    </row>
    <row r="31" ht="49.2" customHeight="1">
      <c r="A31" s="148" t="inlineStr">
        <is>
          <t>네트워크</t>
        </is>
      </c>
      <c r="B31" s="130" t="n"/>
      <c r="C31" s="103" t="inlineStr">
        <is>
          <t>네트워크 스위치 등</t>
        </is>
      </c>
      <c r="D31" s="130" t="n"/>
      <c r="E31" s="104" t="inlineStr">
        <is>
          <t>- Aruba Networking 8360
- Rack 
- 인프라 설치</t>
        </is>
      </c>
      <c r="F31" s="134" t="n"/>
      <c r="G31" s="134" t="n"/>
      <c r="H31" s="130" t="n"/>
      <c r="I31" s="149" t="n"/>
      <c r="J31" s="150" t="n">
        <v>1</v>
      </c>
      <c r="K31" s="151">
        <f>I31*J31</f>
        <v/>
      </c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  <c r="AA31" s="37" t="n"/>
      <c r="AB31" s="37" t="n"/>
      <c r="AC31" s="37" t="n"/>
      <c r="AD31" s="37" t="n"/>
    </row>
    <row r="32" ht="23.1" customHeight="1">
      <c r="A32" s="152" t="inlineStr">
        <is>
          <t>합계</t>
        </is>
      </c>
      <c r="B32" s="144" t="n"/>
      <c r="C32" s="144" t="n"/>
      <c r="D32" s="144" t="n"/>
      <c r="E32" s="144" t="n"/>
      <c r="F32" s="144" t="n"/>
      <c r="G32" s="144" t="n"/>
      <c r="H32" s="144" t="n"/>
      <c r="I32" s="144" t="n"/>
      <c r="J32" s="145" t="n"/>
      <c r="K32" s="153">
        <f>SUM(K28:K31)</f>
        <v/>
      </c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  <c r="AA32" s="37" t="n"/>
      <c r="AB32" s="37" t="n"/>
      <c r="AC32" s="37" t="n"/>
      <c r="AD32" s="37" t="n"/>
    </row>
    <row r="33" ht="3" customHeight="1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  <c r="AA33" s="37" t="n"/>
      <c r="AB33" s="37" t="n"/>
      <c r="AC33" s="37" t="n"/>
      <c r="AD33" s="37" t="n"/>
    </row>
    <row r="34" ht="3" customHeight="1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  <c r="AA34" s="37" t="n"/>
      <c r="AB34" s="37" t="n"/>
      <c r="AC34" s="37" t="n"/>
      <c r="AD34" s="37" t="n"/>
    </row>
    <row r="35">
      <c r="A35" s="30" t="inlineStr">
        <is>
          <t>2. 상용 S/W 도입</t>
        </is>
      </c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  <c r="AA35" s="37" t="n"/>
      <c r="AB35" s="37" t="n"/>
      <c r="AC35" s="37" t="n"/>
      <c r="AD35" s="37" t="n"/>
    </row>
    <row r="36" ht="18" customHeight="1">
      <c r="A36" s="147" t="inlineStr">
        <is>
          <t>용도</t>
        </is>
      </c>
      <c r="B36" s="137" t="n"/>
      <c r="C36" s="43" t="inlineStr">
        <is>
          <t>제품명</t>
        </is>
      </c>
      <c r="D36" s="137" t="n"/>
      <c r="E36" s="43" t="inlineStr">
        <is>
          <t>상세 내역</t>
        </is>
      </c>
      <c r="F36" s="136" t="n"/>
      <c r="G36" s="136" t="n"/>
      <c r="H36" s="137" t="n"/>
      <c r="I36" s="43" t="inlineStr">
        <is>
          <t>납품단가</t>
        </is>
      </c>
      <c r="J36" s="43" t="inlineStr">
        <is>
          <t>수량</t>
        </is>
      </c>
      <c r="K36" s="53" t="inlineStr">
        <is>
          <t>제안가</t>
        </is>
      </c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  <c r="AA36" s="37" t="n"/>
      <c r="AB36" s="37" t="n"/>
      <c r="AC36" s="37" t="n"/>
      <c r="AD36" s="37" t="n"/>
    </row>
    <row r="37" ht="36" customHeight="1" thickBot="1">
      <c r="A37" s="148" t="inlineStr">
        <is>
          <t>문서보안(DRM)</t>
        </is>
      </c>
      <c r="B37" s="130" t="n"/>
      <c r="C37" s="103" t="inlineStr">
        <is>
          <t>DRM 보안소프트웨어</t>
        </is>
      </c>
      <c r="D37" s="130" t="n"/>
      <c r="E37" s="104" t="inlineStr">
        <is>
          <t xml:space="preserve"> - 파일 복·암호화 솔루션
 - 지식DB 수집문서 복호화 연동</t>
        </is>
      </c>
      <c r="F37" s="134" t="n"/>
      <c r="G37" s="134" t="n"/>
      <c r="H37" s="130" t="n"/>
      <c r="I37" s="149" t="n">
        <v>14500000</v>
      </c>
      <c r="J37" s="150" t="n">
        <v>1</v>
      </c>
      <c r="K37" s="151">
        <f>I37*J37</f>
        <v/>
      </c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7" t="n"/>
      <c r="Y37" s="37" t="n"/>
      <c r="Z37" s="37" t="n"/>
      <c r="AA37" s="37" t="n"/>
      <c r="AB37" s="37" t="n"/>
      <c r="AC37" s="37" t="n"/>
      <c r="AD37" s="37" t="n"/>
    </row>
    <row r="38" ht="36" customHeight="1">
      <c r="A38" s="148" t="inlineStr">
        <is>
          <t>통합인증(SSO)</t>
        </is>
      </c>
      <c r="B38" s="130" t="n"/>
      <c r="C38" s="103" t="inlineStr">
        <is>
          <t>SSO 인증서버
소프트웨어</t>
        </is>
      </c>
      <c r="D38" s="130" t="n"/>
      <c r="E38" s="104" t="inlineStr">
        <is>
          <t xml:space="preserve"> - 기존 어드바이저 통합인증(로그인)
 - 스마트온2.0 계정·인증 연계</t>
        </is>
      </c>
      <c r="F38" s="134" t="n"/>
      <c r="G38" s="134" t="n"/>
      <c r="H38" s="130" t="n"/>
      <c r="I38" s="149" t="n">
        <v>20000000</v>
      </c>
      <c r="J38" s="150" t="n">
        <v>1</v>
      </c>
      <c r="K38" s="151">
        <f>I38*J38</f>
        <v/>
      </c>
      <c r="L38" s="37" t="n"/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W38" s="37" t="n"/>
      <c r="X38" s="37" t="n"/>
      <c r="Y38" s="37" t="n"/>
      <c r="Z38" s="37" t="n"/>
      <c r="AA38" s="37" t="n"/>
      <c r="AB38" s="37" t="n"/>
      <c r="AC38" s="37" t="n"/>
      <c r="AD38" s="37" t="n"/>
    </row>
    <row r="39" ht="36" customHeight="1">
      <c r="A39" s="148" t="inlineStr">
        <is>
          <t>음성인식(STT)</t>
        </is>
      </c>
      <c r="B39" s="130" t="n"/>
      <c r="C39" s="103" t="inlineStr">
        <is>
          <t>STT 엔진
(온프레미스)</t>
        </is>
      </c>
      <c r="D39" s="130" t="n"/>
      <c r="E39" s="104" t="inlineStr">
        <is>
          <t xml:space="preserve"> - 현장 음성질의 입력
 - 가스안전 전문용어 사전 적용</t>
        </is>
      </c>
      <c r="F39" s="134" t="n"/>
      <c r="G39" s="134" t="n"/>
      <c r="H39" s="130" t="n"/>
      <c r="I39" s="149" t="n">
        <v>30000000</v>
      </c>
      <c r="J39" s="150" t="n">
        <v>1</v>
      </c>
      <c r="K39" s="151">
        <f>I39*J39</f>
        <v/>
      </c>
      <c r="L39" s="37" t="n"/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  <c r="Y39" s="37" t="n"/>
      <c r="Z39" s="37" t="n"/>
      <c r="AA39" s="37" t="n"/>
      <c r="AB39" s="37" t="n"/>
      <c r="AC39" s="37" t="n"/>
      <c r="AD39" s="37" t="n"/>
    </row>
    <row r="40" ht="23.1" customHeight="1">
      <c r="A40" s="152" t="inlineStr">
        <is>
          <t>합계</t>
        </is>
      </c>
      <c r="B40" s="144" t="n"/>
      <c r="C40" s="144" t="n"/>
      <c r="D40" s="144" t="n"/>
      <c r="E40" s="144" t="n"/>
      <c r="F40" s="144" t="n"/>
      <c r="G40" s="144" t="n"/>
      <c r="H40" s="144" t="n"/>
      <c r="I40" s="144" t="n"/>
      <c r="J40" s="145" t="n"/>
      <c r="K40" s="153">
        <f>SUM(K37:K39)</f>
        <v/>
      </c>
      <c r="L40" s="37" t="n"/>
      <c r="M40" s="37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W40" s="37" t="n"/>
      <c r="X40" s="37" t="n"/>
      <c r="Y40" s="37" t="n"/>
      <c r="Z40" s="37" t="n"/>
      <c r="AA40" s="37" t="n"/>
      <c r="AB40" s="37" t="n"/>
      <c r="AC40" s="37" t="n"/>
      <c r="AD40" s="37" t="n"/>
    </row>
    <row r="41" ht="3" customHeight="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7" t="n"/>
      <c r="Z41" s="37" t="n"/>
      <c r="AA41" s="37" t="n"/>
      <c r="AB41" s="37" t="n"/>
      <c r="AC41" s="37" t="n"/>
      <c r="AD41" s="37" t="n"/>
    </row>
    <row r="42" ht="3" customHeight="1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  <c r="Z42" s="37" t="n"/>
      <c r="AA42" s="37" t="n"/>
      <c r="AB42" s="37" t="n"/>
      <c r="AC42" s="37" t="n"/>
      <c r="AD42" s="37" t="n"/>
    </row>
    <row r="43">
      <c r="A43" s="30" t="inlineStr">
        <is>
          <t>3. 개발비(과제 1. 가스안전 지식DB 고도화)</t>
        </is>
      </c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  <c r="Y43" s="37" t="n"/>
      <c r="Z43" s="37" t="n"/>
      <c r="AA43" s="37" t="n"/>
      <c r="AB43" s="37" t="n"/>
      <c r="AC43" s="37" t="n"/>
      <c r="AD43" s="37" t="n"/>
    </row>
    <row r="44" ht="20.4" customHeight="1">
      <c r="A44" s="81" t="inlineStr">
        <is>
          <t>구 분</t>
        </is>
      </c>
      <c r="B44" s="136" t="n"/>
      <c r="C44" s="136" t="n"/>
      <c r="D44" s="137" t="n"/>
      <c r="E44" s="82" t="inlineStr">
        <is>
          <t>업무</t>
        </is>
      </c>
      <c r="F44" s="137" t="n"/>
      <c r="G44" s="84" t="inlineStr">
        <is>
          <t>월평균 임금</t>
        </is>
      </c>
      <c r="H44" s="82" t="inlineStr">
        <is>
          <t>제경비(144%)</t>
        </is>
      </c>
      <c r="I44" s="82" t="inlineStr">
        <is>
          <t>기술료(20%)</t>
        </is>
      </c>
      <c r="J44" s="43" t="inlineStr">
        <is>
          <t>수량(M/M)</t>
        </is>
      </c>
      <c r="K44" s="59" t="inlineStr">
        <is>
          <t>제안가</t>
        </is>
      </c>
      <c r="L44" s="37" t="n"/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37" t="n"/>
      <c r="Y44" s="37" t="n"/>
      <c r="Z44" s="37" t="n"/>
      <c r="AA44" s="37" t="n"/>
      <c r="AB44" s="37" t="n"/>
      <c r="AC44" s="37" t="n"/>
      <c r="AD44" s="37" t="n"/>
    </row>
    <row r="45" ht="20.4" customHeight="1">
      <c r="A45" s="154" t="inlineStr">
        <is>
          <t>가스안전 지식DB 고도화</t>
        </is>
      </c>
      <c r="B45" s="155" t="n"/>
      <c r="C45" s="76" t="inlineStr">
        <is>
          <t>IT PM</t>
        </is>
      </c>
      <c r="D45" s="130" t="n"/>
      <c r="E45" s="156" t="inlineStr">
        <is>
          <t>사업관리 및 데이터 컨설팅 총괄</t>
        </is>
      </c>
      <c r="F45" s="130" t="n"/>
      <c r="G45" s="157" t="n">
        <v>10086804</v>
      </c>
      <c r="H45" s="158">
        <f>G45*144%</f>
        <v/>
      </c>
      <c r="I45" s="158">
        <f>(G45+H45)*20%</f>
        <v/>
      </c>
      <c r="J45" s="159" t="n">
        <v>1</v>
      </c>
      <c r="K45" s="160">
        <f>(G45+H45+I45)*J45</f>
        <v/>
      </c>
      <c r="L45" s="37" t="n"/>
      <c r="M45" s="37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W45" s="37" t="n"/>
      <c r="X45" s="37" t="n"/>
      <c r="Y45" s="37" t="n"/>
      <c r="Z45" s="37" t="n"/>
      <c r="AA45" s="37" t="n"/>
      <c r="AB45" s="37" t="n"/>
      <c r="AC45" s="37" t="n"/>
      <c r="AD45" s="37" t="n"/>
    </row>
    <row r="46" ht="20.4" customHeight="1" thickBot="1">
      <c r="A46" s="161" t="n"/>
      <c r="B46" s="162" t="n"/>
      <c r="C46" s="76" t="inlineStr">
        <is>
          <t>IT 아키텍트</t>
        </is>
      </c>
      <c r="D46" s="130" t="n"/>
      <c r="E46" s="156" t="inlineStr">
        <is>
          <t>데이터 표준·메타데이터 스키마·RAG 파이프라인 설계</t>
        </is>
      </c>
      <c r="F46" s="130" t="n"/>
      <c r="G46" s="163" t="n">
        <v>11103230</v>
      </c>
      <c r="H46" s="158">
        <f>G46*144%</f>
        <v/>
      </c>
      <c r="I46" s="158">
        <f>(G46+H46)*20%</f>
        <v/>
      </c>
      <c r="J46" s="159" t="n">
        <v>1.5</v>
      </c>
      <c r="K46" s="160">
        <f>(G46+H46+I46)*J46</f>
        <v/>
      </c>
      <c r="L46" s="37" t="n"/>
      <c r="M46" s="37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W46" s="37" t="n"/>
      <c r="X46" s="37" t="n"/>
      <c r="Y46" s="37" t="n"/>
      <c r="Z46" s="37" t="n"/>
      <c r="AA46" s="37" t="n"/>
      <c r="AB46" s="37" t="n"/>
      <c r="AC46" s="37" t="n"/>
      <c r="AD46" s="37" t="n"/>
    </row>
    <row r="47" ht="20.4" customHeight="1">
      <c r="A47" s="161" t="n"/>
      <c r="B47" s="162" t="n"/>
      <c r="C47" s="76" t="inlineStr">
        <is>
          <t>데이터분석가</t>
        </is>
      </c>
      <c r="D47" s="130" t="n"/>
      <c r="E47" s="156" t="inlineStr">
        <is>
          <t>비정형 자료 전수조사·정제·분류·최신화 체계 수립</t>
        </is>
      </c>
      <c r="F47" s="130" t="n"/>
      <c r="G47" s="163" t="n">
        <v>8499309</v>
      </c>
      <c r="H47" s="158">
        <f>G47*144%</f>
        <v/>
      </c>
      <c r="I47" s="158">
        <f>(G47+H47)*20%</f>
        <v/>
      </c>
      <c r="J47" s="159" t="n">
        <v>4</v>
      </c>
      <c r="K47" s="160">
        <f>(G47+H47+I47)*J47</f>
        <v/>
      </c>
      <c r="L47" s="37" t="n"/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  <c r="Y47" s="37" t="n"/>
      <c r="Z47" s="37" t="n"/>
      <c r="AA47" s="37" t="n"/>
      <c r="AB47" s="37" t="n"/>
      <c r="AC47" s="37" t="n"/>
      <c r="AD47" s="37" t="n"/>
    </row>
    <row r="48" ht="30" customHeight="1">
      <c r="A48" s="161" t="n"/>
      <c r="B48" s="162" t="n"/>
      <c r="C48" s="76" t="inlineStr">
        <is>
          <t>응용SW 개발자</t>
        </is>
      </c>
      <c r="D48" s="130" t="n"/>
      <c r="E48" s="156" t="inlineStr">
        <is>
          <t>수집·변환 파이프라인, 자동 업로드·버전관리, 관리자 포털 개선</t>
        </is>
      </c>
      <c r="F48" s="130" t="n"/>
      <c r="G48" s="163" t="n">
        <v>7754124</v>
      </c>
      <c r="H48" s="158">
        <f>G48*144%</f>
        <v/>
      </c>
      <c r="I48" s="158">
        <f>(G48+H48)*20%</f>
        <v/>
      </c>
      <c r="J48" s="159" t="n">
        <v>4</v>
      </c>
      <c r="K48" s="160">
        <f>(G48+H48+I48)*J48</f>
        <v/>
      </c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  <c r="AA48" s="37" t="n"/>
      <c r="AB48" s="37" t="n"/>
      <c r="AC48" s="37" t="n"/>
      <c r="AD48" s="37" t="n"/>
    </row>
    <row r="49" ht="22.2" customHeight="1">
      <c r="A49" s="79" t="inlineStr">
        <is>
          <t>합계</t>
        </is>
      </c>
      <c r="B49" s="134" t="n"/>
      <c r="C49" s="134" t="n"/>
      <c r="D49" s="134" t="n"/>
      <c r="E49" s="134" t="n"/>
      <c r="F49" s="134" t="n"/>
      <c r="G49" s="134" t="n"/>
      <c r="H49" s="134" t="n"/>
      <c r="I49" s="134" t="n"/>
      <c r="J49" s="164">
        <f>SUM(J45:J48)</f>
        <v/>
      </c>
      <c r="K49" s="165">
        <f>SUM(K45:K48)</f>
        <v/>
      </c>
      <c r="L49" s="37" t="n"/>
      <c r="M49" s="37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W49" s="37" t="n"/>
      <c r="X49" s="37" t="n"/>
      <c r="Y49" s="37" t="n"/>
      <c r="Z49" s="37" t="n"/>
      <c r="AA49" s="37" t="n"/>
      <c r="AB49" s="37" t="n"/>
      <c r="AC49" s="37" t="n"/>
      <c r="AD49" s="37" t="n"/>
    </row>
    <row r="50" ht="3" customHeight="1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7" t="n"/>
      <c r="W50" s="37" t="n"/>
      <c r="X50" s="37" t="n"/>
      <c r="Y50" s="37" t="n"/>
      <c r="Z50" s="37" t="n"/>
      <c r="AA50" s="37" t="n"/>
      <c r="AB50" s="37" t="n"/>
      <c r="AC50" s="37" t="n"/>
      <c r="AD50" s="37" t="n"/>
    </row>
    <row r="51" ht="3" customHeight="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  <c r="Z51" s="37" t="n"/>
      <c r="AA51" s="37" t="n"/>
      <c r="AB51" s="37" t="n"/>
      <c r="AC51" s="37" t="n"/>
      <c r="AD51" s="37" t="n"/>
    </row>
    <row r="52">
      <c r="A52" s="30" t="inlineStr">
        <is>
          <t>4. 개발비(과제 2. 스마트온2.0 연계 모바일)</t>
        </is>
      </c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  <c r="AA52" s="37" t="n"/>
      <c r="AB52" s="37" t="n"/>
      <c r="AC52" s="37" t="n"/>
      <c r="AD52" s="37" t="n"/>
    </row>
    <row r="53" ht="20.4" customHeight="1">
      <c r="A53" s="81" t="inlineStr">
        <is>
          <t>구 분</t>
        </is>
      </c>
      <c r="B53" s="136" t="n"/>
      <c r="C53" s="136" t="n"/>
      <c r="D53" s="137" t="n"/>
      <c r="E53" s="82" t="inlineStr">
        <is>
          <t>업무</t>
        </is>
      </c>
      <c r="F53" s="137" t="n"/>
      <c r="G53" s="84" t="inlineStr">
        <is>
          <t>월평균 임금</t>
        </is>
      </c>
      <c r="H53" s="82" t="inlineStr">
        <is>
          <t>제경비(144%)</t>
        </is>
      </c>
      <c r="I53" s="82" t="inlineStr">
        <is>
          <t>기술료(20%)</t>
        </is>
      </c>
      <c r="J53" s="43" t="inlineStr">
        <is>
          <t>수량(M/M)</t>
        </is>
      </c>
      <c r="K53" s="59" t="inlineStr">
        <is>
          <t>제안가</t>
        </is>
      </c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  <c r="Z53" s="37" t="n"/>
      <c r="AA53" s="37" t="n"/>
      <c r="AB53" s="37" t="n"/>
      <c r="AC53" s="37" t="n"/>
      <c r="AD53" s="37" t="n"/>
    </row>
    <row r="54" ht="20.4" customHeight="1" thickBot="1">
      <c r="A54" s="154" t="inlineStr">
        <is>
          <t>스마트온2.0 연계 모바일</t>
        </is>
      </c>
      <c r="B54" s="155" t="n"/>
      <c r="C54" s="76" t="inlineStr">
        <is>
          <t>IT PM</t>
        </is>
      </c>
      <c r="D54" s="130" t="n"/>
      <c r="E54" s="156" t="inlineStr">
        <is>
          <t>사업관리 및 현업(검사지원처) 협의</t>
        </is>
      </c>
      <c r="F54" s="130" t="n"/>
      <c r="G54" s="157" t="n">
        <v>10086804</v>
      </c>
      <c r="H54" s="158">
        <f>G54*144%</f>
        <v/>
      </c>
      <c r="I54" s="158">
        <f>(G54+H54)*20%</f>
        <v/>
      </c>
      <c r="J54" s="159" t="n">
        <v>0.5</v>
      </c>
      <c r="K54" s="160">
        <f>(G54+H54+I54)*J54</f>
        <v/>
      </c>
      <c r="L54" s="37" t="n"/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  <c r="Z54" s="37" t="n"/>
      <c r="AA54" s="37" t="n"/>
      <c r="AB54" s="37" t="n"/>
      <c r="AC54" s="37" t="n"/>
      <c r="AD54" s="37" t="n"/>
    </row>
    <row r="55" ht="20.4" customHeight="1">
      <c r="A55" s="161" t="n"/>
      <c r="B55" s="162" t="n"/>
      <c r="C55" s="76" t="inlineStr">
        <is>
          <t>IT 기획자</t>
        </is>
      </c>
      <c r="D55" s="130" t="n"/>
      <c r="E55" s="156" t="inlineStr">
        <is>
          <t>모바일 연계·계정/인증 보안 아키텍처 설계</t>
        </is>
      </c>
      <c r="F55" s="130" t="n"/>
      <c r="G55" s="163" t="n">
        <v>11853218</v>
      </c>
      <c r="H55" s="158">
        <f>G55*144%</f>
        <v/>
      </c>
      <c r="I55" s="158">
        <f>(G55+H55)*20%</f>
        <v/>
      </c>
      <c r="J55" s="159" t="n">
        <v>1</v>
      </c>
      <c r="K55" s="160">
        <f>(G55+H55+I55)*J55</f>
        <v/>
      </c>
      <c r="L55" s="37" t="n"/>
      <c r="M55" s="37" t="n"/>
      <c r="N55" s="37" t="n"/>
      <c r="O55" s="37" t="n"/>
      <c r="P55" s="37" t="n"/>
      <c r="Q55" s="37" t="n"/>
      <c r="R55" s="37" t="n"/>
      <c r="S55" s="37" t="n"/>
      <c r="T55" s="37" t="n"/>
      <c r="U55" s="37" t="n"/>
      <c r="V55" s="37" t="n"/>
      <c r="W55" s="37" t="n"/>
      <c r="X55" s="37" t="n"/>
      <c r="Y55" s="37" t="n"/>
      <c r="Z55" s="37" t="n"/>
      <c r="AA55" s="37" t="n"/>
      <c r="AB55" s="37" t="n"/>
      <c r="AC55" s="37" t="n"/>
      <c r="AD55" s="37" t="n"/>
    </row>
    <row r="56" ht="20.4" customHeight="1">
      <c r="A56" s="161" t="n"/>
      <c r="B56" s="162" t="n"/>
      <c r="C56" s="76" t="inlineStr">
        <is>
          <t>응용SW 개발자</t>
        </is>
      </c>
      <c r="D56" s="130" t="n"/>
      <c r="E56" s="156" t="inlineStr">
        <is>
          <t>스마트온2.0 연계 API·SSO 연동·음성입력(STT) 개발</t>
        </is>
      </c>
      <c r="F56" s="130" t="n"/>
      <c r="G56" s="163" t="n">
        <v>7754124</v>
      </c>
      <c r="H56" s="158">
        <f>G56*144%</f>
        <v/>
      </c>
      <c r="I56" s="158">
        <f>(G56+H56)*20%</f>
        <v/>
      </c>
      <c r="J56" s="159" t="n">
        <v>3.5</v>
      </c>
      <c r="K56" s="160">
        <f>(G56+H56+I56)*J56</f>
        <v/>
      </c>
      <c r="L56" s="37" t="n"/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  <c r="AA56" s="37" t="n"/>
      <c r="AB56" s="37" t="n"/>
      <c r="AC56" s="37" t="n"/>
      <c r="AD56" s="37" t="n"/>
    </row>
    <row r="57" ht="20.4" customHeight="1">
      <c r="A57" s="161" t="n"/>
      <c r="B57" s="162" t="n"/>
      <c r="C57" s="76" t="inlineStr">
        <is>
          <t>UI/UX기획/개발자</t>
        </is>
      </c>
      <c r="D57" s="130" t="n"/>
      <c r="E57" s="156" t="inlineStr">
        <is>
          <t>현장검사원 특화 모바일 UI/UX 설계·구현</t>
        </is>
      </c>
      <c r="F57" s="130" t="n"/>
      <c r="G57" s="163" t="n">
        <v>6901660</v>
      </c>
      <c r="H57" s="158">
        <f>G57*144%</f>
        <v/>
      </c>
      <c r="I57" s="158">
        <f>(G57+H57)*20%</f>
        <v/>
      </c>
      <c r="J57" s="159" t="n">
        <v>1.5</v>
      </c>
      <c r="K57" s="160">
        <f>(G57+H57+I57)*J57</f>
        <v/>
      </c>
      <c r="L57" s="37" t="n"/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7" t="n"/>
      <c r="Y57" s="37" t="n"/>
      <c r="Z57" s="37" t="n"/>
      <c r="AA57" s="37" t="n"/>
      <c r="AB57" s="37" t="n"/>
      <c r="AC57" s="37" t="n"/>
      <c r="AD57" s="37" t="n"/>
    </row>
    <row r="58" ht="22.2" customHeight="1">
      <c r="A58" s="79" t="inlineStr">
        <is>
          <t>합계</t>
        </is>
      </c>
      <c r="B58" s="134" t="n"/>
      <c r="C58" s="134" t="n"/>
      <c r="D58" s="134" t="n"/>
      <c r="E58" s="134" t="n"/>
      <c r="F58" s="134" t="n"/>
      <c r="G58" s="134" t="n"/>
      <c r="H58" s="134" t="n"/>
      <c r="I58" s="134" t="n"/>
      <c r="J58" s="164">
        <f>SUM(J54:J57)</f>
        <v/>
      </c>
      <c r="K58" s="165">
        <f>SUM(K54:K57)</f>
        <v/>
      </c>
      <c r="L58" s="37" t="n"/>
      <c r="M58" s="37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7" t="n"/>
      <c r="Z58" s="37" t="n"/>
      <c r="AA58" s="37" t="n"/>
      <c r="AB58" s="37" t="n"/>
      <c r="AC58" s="37" t="n"/>
      <c r="AD58" s="37" t="n"/>
    </row>
    <row r="59" ht="3" customHeight="1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7" t="n"/>
      <c r="Y59" s="37" t="n"/>
      <c r="Z59" s="37" t="n"/>
      <c r="AA59" s="37" t="n"/>
      <c r="AB59" s="37" t="n"/>
      <c r="AC59" s="37" t="n"/>
      <c r="AD59" s="37" t="n"/>
    </row>
    <row r="60" ht="3" customHeight="1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  <c r="Z60" s="37" t="n"/>
      <c r="AA60" s="37" t="n"/>
      <c r="AB60" s="37" t="n"/>
      <c r="AC60" s="37" t="n"/>
      <c r="AD60" s="37" t="n"/>
    </row>
    <row r="61">
      <c r="A61" s="30" t="inlineStr">
        <is>
          <t>5. 개발비(과제 3. 사이버지사 VOC 챗봇(대국민))</t>
        </is>
      </c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37" t="n"/>
      <c r="O61" s="37" t="n"/>
      <c r="P61" s="37" t="n"/>
      <c r="Q61" s="37" t="n"/>
      <c r="R61" s="37" t="n"/>
      <c r="S61" s="37" t="n"/>
      <c r="T61" s="37" t="n"/>
      <c r="U61" s="37" t="n"/>
      <c r="V61" s="37" t="n"/>
      <c r="W61" s="37" t="n"/>
      <c r="X61" s="37" t="n"/>
      <c r="Y61" s="37" t="n"/>
      <c r="Z61" s="37" t="n"/>
      <c r="AA61" s="37" t="n"/>
      <c r="AB61" s="37" t="n"/>
      <c r="AC61" s="37" t="n"/>
      <c r="AD61" s="37" t="n"/>
    </row>
    <row r="62" ht="20.4" customHeight="1">
      <c r="A62" s="81" t="inlineStr">
        <is>
          <t>구 분</t>
        </is>
      </c>
      <c r="B62" s="136" t="n"/>
      <c r="C62" s="136" t="n"/>
      <c r="D62" s="137" t="n"/>
      <c r="E62" s="82" t="inlineStr">
        <is>
          <t>업무</t>
        </is>
      </c>
      <c r="F62" s="137" t="n"/>
      <c r="G62" s="84" t="inlineStr">
        <is>
          <t>월평균 임금</t>
        </is>
      </c>
      <c r="H62" s="82" t="inlineStr">
        <is>
          <t>제경비(144%)</t>
        </is>
      </c>
      <c r="I62" s="82" t="inlineStr">
        <is>
          <t>기술료(20%)</t>
        </is>
      </c>
      <c r="J62" s="43" t="inlineStr">
        <is>
          <t>수량(M/M)</t>
        </is>
      </c>
      <c r="K62" s="59" t="inlineStr">
        <is>
          <t>제안가</t>
        </is>
      </c>
      <c r="L62" s="37" t="n"/>
      <c r="M62" s="37" t="n"/>
      <c r="N62" s="37" t="n"/>
      <c r="O62" s="37" t="n"/>
      <c r="P62" s="37" t="n"/>
      <c r="Q62" s="37" t="n"/>
      <c r="R62" s="37" t="n"/>
      <c r="S62" s="37" t="n"/>
      <c r="T62" s="37" t="n"/>
      <c r="U62" s="37" t="n"/>
      <c r="V62" s="37" t="n"/>
      <c r="W62" s="37" t="n"/>
      <c r="X62" s="37" t="n"/>
      <c r="Y62" s="37" t="n"/>
      <c r="Z62" s="37" t="n"/>
      <c r="AA62" s="37" t="n"/>
      <c r="AB62" s="37" t="n"/>
      <c r="AC62" s="37" t="n"/>
      <c r="AD62" s="37" t="n"/>
    </row>
    <row r="63" ht="20.4" customHeight="1">
      <c r="A63" s="154" t="inlineStr">
        <is>
          <t>사이버지사 VOC 챗봇(대국민)</t>
        </is>
      </c>
      <c r="B63" s="155" t="n"/>
      <c r="C63" s="76" t="inlineStr">
        <is>
          <t>IT PM</t>
        </is>
      </c>
      <c r="D63" s="130" t="n"/>
      <c r="E63" s="156" t="inlineStr">
        <is>
          <t>사업관리 및 대외 협의(홍보소통실)</t>
        </is>
      </c>
      <c r="F63" s="130" t="n"/>
      <c r="G63" s="157" t="n">
        <v>10086804</v>
      </c>
      <c r="H63" s="158">
        <f>G63*144%</f>
        <v/>
      </c>
      <c r="I63" s="158">
        <f>(G63+H63)*20%</f>
        <v/>
      </c>
      <c r="J63" s="159" t="n">
        <v>0.5</v>
      </c>
      <c r="K63" s="160">
        <f>(G63+H63+I63)*J63</f>
        <v/>
      </c>
      <c r="L63" s="37" t="n"/>
      <c r="M63" s="37" t="n"/>
      <c r="N63" s="37" t="n"/>
      <c r="O63" s="37" t="n"/>
      <c r="P63" s="37" t="n"/>
      <c r="Q63" s="37" t="n"/>
      <c r="R63" s="37" t="n"/>
      <c r="S63" s="37" t="n"/>
      <c r="T63" s="37" t="n"/>
      <c r="U63" s="37" t="n"/>
      <c r="V63" s="37" t="n"/>
      <c r="W63" s="37" t="n"/>
      <c r="X63" s="37" t="n"/>
      <c r="Y63" s="37" t="n"/>
      <c r="Z63" s="37" t="n"/>
      <c r="AA63" s="37" t="n"/>
      <c r="AB63" s="37" t="n"/>
      <c r="AC63" s="37" t="n"/>
      <c r="AD63" s="37" t="n"/>
    </row>
    <row r="64" ht="20.4" customHeight="1">
      <c r="A64" s="161" t="n"/>
      <c r="B64" s="162" t="n"/>
      <c r="C64" s="76" t="inlineStr">
        <is>
          <t>IT 기획자</t>
        </is>
      </c>
      <c r="D64" s="130" t="n"/>
      <c r="E64" s="156" t="inlineStr">
        <is>
          <t>대국민 상담체계(자동응답·근거답변·부서이관) 기획</t>
        </is>
      </c>
      <c r="F64" s="130" t="n"/>
      <c r="G64" s="163" t="n">
        <v>11853218</v>
      </c>
      <c r="H64" s="158">
        <f>G64*144%</f>
        <v/>
      </c>
      <c r="I64" s="158">
        <f>(G64+H64)*20%</f>
        <v/>
      </c>
      <c r="J64" s="159" t="n">
        <v>1.5</v>
      </c>
      <c r="K64" s="160">
        <f>(G64+H64+I64)*J64</f>
        <v/>
      </c>
      <c r="L64" s="37" t="n"/>
      <c r="M64" s="37" t="n"/>
      <c r="N64" s="37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/>
      <c r="Z64" s="37" t="n"/>
      <c r="AA64" s="37" t="n"/>
      <c r="AB64" s="37" t="n"/>
      <c r="AC64" s="37" t="n"/>
      <c r="AD64" s="37" t="n"/>
    </row>
    <row r="65" ht="20.4" customHeight="1">
      <c r="A65" s="161" t="n"/>
      <c r="B65" s="162" t="n"/>
      <c r="C65" s="76" t="inlineStr">
        <is>
          <t>IT 아키텍트</t>
        </is>
      </c>
      <c r="D65" s="130" t="n"/>
      <c r="E65" s="156" t="inlineStr">
        <is>
          <t>외부망 보안 아키텍처·내부자료 분리(필터링) 설계</t>
        </is>
      </c>
      <c r="F65" s="130" t="n"/>
      <c r="G65" s="163" t="n">
        <v>11103230</v>
      </c>
      <c r="H65" s="158">
        <f>G65*144%</f>
        <v/>
      </c>
      <c r="I65" s="158">
        <f>(G65+H65)*20%</f>
        <v/>
      </c>
      <c r="J65" s="159" t="n">
        <v>1</v>
      </c>
      <c r="K65" s="160">
        <f>(G65+H65+I65)*J65</f>
        <v/>
      </c>
      <c r="L65" s="37" t="n"/>
      <c r="M65" s="37" t="n"/>
      <c r="N65" s="37" t="n"/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  <c r="Y65" s="37" t="n"/>
      <c r="Z65" s="37" t="n"/>
      <c r="AA65" s="37" t="n"/>
      <c r="AB65" s="37" t="n"/>
      <c r="AC65" s="37" t="n"/>
      <c r="AD65" s="37" t="n"/>
    </row>
    <row r="66" ht="30" customHeight="1">
      <c r="A66" s="161" t="n"/>
      <c r="B66" s="162" t="n"/>
      <c r="C66" s="76" t="inlineStr">
        <is>
          <t>데이터분석가</t>
        </is>
      </c>
      <c r="D66" s="130" t="n"/>
      <c r="E66" s="156" t="inlineStr">
        <is>
          <t>공개자료(법령·KGS Code) 선별·정제, 대국민 지식DB 구축</t>
        </is>
      </c>
      <c r="F66" s="130" t="n"/>
      <c r="G66" s="163" t="n">
        <v>8499309</v>
      </c>
      <c r="H66" s="158">
        <f>G66*144%</f>
        <v/>
      </c>
      <c r="I66" s="158">
        <f>(G66+H66)*20%</f>
        <v/>
      </c>
      <c r="J66" s="159" t="n">
        <v>1</v>
      </c>
      <c r="K66" s="160">
        <f>(G66+H66+I66)*J66</f>
        <v/>
      </c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  <c r="Z66" s="37" t="n"/>
      <c r="AA66" s="37" t="n"/>
      <c r="AB66" s="37" t="n"/>
      <c r="AC66" s="37" t="n"/>
      <c r="AD66" s="37" t="n"/>
    </row>
    <row r="67" ht="30" customHeight="1">
      <c r="A67" s="161" t="n"/>
      <c r="B67" s="162" t="n"/>
      <c r="C67" s="76" t="inlineStr">
        <is>
          <t>응용SW 개발자</t>
        </is>
      </c>
      <c r="D67" s="130" t="n"/>
      <c r="E67" s="156" t="inlineStr">
        <is>
          <t>AI상담 챗봇·질의 라우팅·전문질의 이관/VOC 연계·가드레일 개발</t>
        </is>
      </c>
      <c r="F67" s="130" t="n"/>
      <c r="G67" s="163" t="n">
        <v>7754124</v>
      </c>
      <c r="H67" s="158">
        <f>G67*144%</f>
        <v/>
      </c>
      <c r="I67" s="158">
        <f>(G67+H67)*20%</f>
        <v/>
      </c>
      <c r="J67" s="159" t="n">
        <v>4</v>
      </c>
      <c r="K67" s="160">
        <f>(G67+H67+I67)*J67</f>
        <v/>
      </c>
      <c r="L67" s="37" t="n"/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/>
      <c r="Z67" s="37" t="n"/>
      <c r="AA67" s="37" t="n"/>
      <c r="AB67" s="37" t="n"/>
      <c r="AC67" s="37" t="n"/>
      <c r="AD67" s="37" t="n"/>
    </row>
    <row r="68" ht="20.4" customHeight="1" thickBot="1">
      <c r="A68" s="161" t="n"/>
      <c r="B68" s="162" t="n"/>
      <c r="C68" s="76" t="inlineStr">
        <is>
          <t>UI/UX기획/개발자</t>
        </is>
      </c>
      <c r="D68" s="130" t="n"/>
      <c r="E68" s="156" t="inlineStr">
        <is>
          <t>대국민 챗봇 UI/UX(웹접근성) 설계·화면 구현</t>
        </is>
      </c>
      <c r="F68" s="130" t="n"/>
      <c r="G68" s="163" t="n">
        <v>6901660</v>
      </c>
      <c r="H68" s="158">
        <f>G68*144%</f>
        <v/>
      </c>
      <c r="I68" s="158">
        <f>(G68+H68)*20%</f>
        <v/>
      </c>
      <c r="J68" s="159" t="n">
        <v>2</v>
      </c>
      <c r="K68" s="160">
        <f>(G68+H68+I68)*J68</f>
        <v/>
      </c>
      <c r="L68" s="37" t="n"/>
      <c r="M68" s="37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  <c r="Z68" s="37" t="n"/>
      <c r="AA68" s="37" t="n"/>
      <c r="AB68" s="37" t="n"/>
      <c r="AC68" s="37" t="n"/>
      <c r="AD68" s="37" t="n"/>
    </row>
    <row r="69" ht="22.2" customHeight="1">
      <c r="A69" s="79" t="inlineStr">
        <is>
          <t>합계</t>
        </is>
      </c>
      <c r="B69" s="134" t="n"/>
      <c r="C69" s="134" t="n"/>
      <c r="D69" s="134" t="n"/>
      <c r="E69" s="134" t="n"/>
      <c r="F69" s="134" t="n"/>
      <c r="G69" s="134" t="n"/>
      <c r="H69" s="134" t="n"/>
      <c r="I69" s="134" t="n"/>
      <c r="J69" s="164">
        <f>SUM(J63:J68)</f>
        <v/>
      </c>
      <c r="K69" s="165">
        <f>SUM(K63:K68)</f>
        <v/>
      </c>
      <c r="L69" s="37" t="n"/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7" t="n"/>
      <c r="Y69" s="37" t="n"/>
      <c r="Z69" s="37" t="n"/>
      <c r="AA69" s="37" t="n"/>
      <c r="AB69" s="37" t="n"/>
      <c r="AC69" s="37" t="n"/>
      <c r="AD69" s="37" t="n"/>
    </row>
    <row r="70" ht="3" customHeight="1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7" t="n"/>
      <c r="Y70" s="37" t="n"/>
      <c r="Z70" s="37" t="n"/>
      <c r="AA70" s="37" t="n"/>
      <c r="AB70" s="37" t="n"/>
      <c r="AC70" s="37" t="n"/>
      <c r="AD70" s="37" t="n"/>
    </row>
    <row r="71" ht="3" customHeight="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37" t="n"/>
      <c r="O71" s="37" t="n"/>
      <c r="P71" s="37" t="n"/>
      <c r="Q71" s="37" t="n"/>
      <c r="R71" s="37" t="n"/>
      <c r="S71" s="37" t="n"/>
      <c r="T71" s="37" t="n"/>
      <c r="U71" s="37" t="n"/>
      <c r="V71" s="37" t="n"/>
      <c r="W71" s="37" t="n"/>
      <c r="X71" s="37" t="n"/>
      <c r="Y71" s="37" t="n"/>
      <c r="Z71" s="37" t="n"/>
      <c r="AA71" s="37" t="n"/>
      <c r="AB71" s="37" t="n"/>
      <c r="AC71" s="37" t="n"/>
      <c r="AD71" s="37" t="n"/>
    </row>
    <row r="72">
      <c r="A72" s="30" t="inlineStr">
        <is>
          <t>6. 개발비(과제 4. AI 신뢰성(정확도) 고도화)</t>
        </is>
      </c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37" t="n"/>
      <c r="O72" s="37" t="n"/>
      <c r="P72" s="37" t="n"/>
      <c r="Q72" s="37" t="n"/>
      <c r="R72" s="37" t="n"/>
      <c r="S72" s="37" t="n"/>
      <c r="T72" s="37" t="n"/>
      <c r="U72" s="37" t="n"/>
      <c r="V72" s="37" t="n"/>
      <c r="W72" s="37" t="n"/>
      <c r="X72" s="37" t="n"/>
      <c r="Y72" s="37" t="n"/>
      <c r="Z72" s="37" t="n"/>
      <c r="AA72" s="37" t="n"/>
      <c r="AB72" s="37" t="n"/>
      <c r="AC72" s="37" t="n"/>
      <c r="AD72" s="37" t="n"/>
    </row>
    <row r="73" ht="20.4" customHeight="1">
      <c r="A73" s="81" t="inlineStr">
        <is>
          <t>구 분</t>
        </is>
      </c>
      <c r="B73" s="136" t="n"/>
      <c r="C73" s="136" t="n"/>
      <c r="D73" s="137" t="n"/>
      <c r="E73" s="82" t="inlineStr">
        <is>
          <t>업무</t>
        </is>
      </c>
      <c r="F73" s="137" t="n"/>
      <c r="G73" s="84" t="inlineStr">
        <is>
          <t>월평균 임금</t>
        </is>
      </c>
      <c r="H73" s="82" t="inlineStr">
        <is>
          <t>제경비(144%)</t>
        </is>
      </c>
      <c r="I73" s="82" t="inlineStr">
        <is>
          <t>기술료(20%)</t>
        </is>
      </c>
      <c r="J73" s="43" t="inlineStr">
        <is>
          <t>수량(M/M)</t>
        </is>
      </c>
      <c r="K73" s="59" t="inlineStr">
        <is>
          <t>제안가</t>
        </is>
      </c>
      <c r="L73" s="37" t="n"/>
      <c r="M73" s="37" t="n"/>
      <c r="N73" s="37" t="n"/>
      <c r="O73" s="37" t="n"/>
      <c r="P73" s="37" t="n"/>
      <c r="Q73" s="37" t="n"/>
      <c r="R73" s="37" t="n"/>
      <c r="S73" s="37" t="n"/>
      <c r="T73" s="37" t="n"/>
      <c r="U73" s="37" t="n"/>
      <c r="V73" s="37" t="n"/>
      <c r="W73" s="37" t="n"/>
      <c r="X73" s="37" t="n"/>
      <c r="Y73" s="37" t="n"/>
      <c r="Z73" s="37" t="n"/>
      <c r="AA73" s="37" t="n"/>
      <c r="AB73" s="37" t="n"/>
      <c r="AC73" s="37" t="n"/>
      <c r="AD73" s="37" t="n"/>
    </row>
    <row r="74" ht="20.4" customHeight="1">
      <c r="A74" s="154" t="inlineStr">
        <is>
          <t>AI 신뢰성(정확도) 고도화</t>
        </is>
      </c>
      <c r="B74" s="155" t="n"/>
      <c r="C74" s="76" t="inlineStr">
        <is>
          <t>IT PM</t>
        </is>
      </c>
      <c r="D74" s="130" t="n"/>
      <c r="E74" s="156" t="inlineStr">
        <is>
          <t>사업관리 및 품질관리</t>
        </is>
      </c>
      <c r="F74" s="130" t="n"/>
      <c r="G74" s="157" t="n">
        <v>10086804</v>
      </c>
      <c r="H74" s="158">
        <f>G74*144%</f>
        <v/>
      </c>
      <c r="I74" s="158">
        <f>(G74+H74)*20%</f>
        <v/>
      </c>
      <c r="J74" s="159" t="n">
        <v>1</v>
      </c>
      <c r="K74" s="160">
        <f>(G74+H74+I74)*J74</f>
        <v/>
      </c>
      <c r="L74" s="37" t="n"/>
      <c r="M74" s="37" t="n"/>
      <c r="N74" s="37" t="n"/>
      <c r="O74" s="37" t="n"/>
      <c r="P74" s="37" t="n"/>
      <c r="Q74" s="37" t="n"/>
      <c r="R74" s="37" t="n"/>
      <c r="S74" s="37" t="n"/>
      <c r="T74" s="37" t="n"/>
      <c r="U74" s="37" t="n"/>
      <c r="V74" s="37" t="n"/>
      <c r="W74" s="37" t="n"/>
      <c r="X74" s="37" t="n"/>
      <c r="Y74" s="37" t="n"/>
      <c r="Z74" s="37" t="n"/>
      <c r="AA74" s="37" t="n"/>
      <c r="AB74" s="37" t="n"/>
      <c r="AC74" s="37" t="n"/>
      <c r="AD74" s="37" t="n"/>
    </row>
    <row r="75" ht="20.4" customHeight="1">
      <c r="A75" s="161" t="n"/>
      <c r="B75" s="162" t="n"/>
      <c r="C75" s="76" t="inlineStr">
        <is>
          <t>IT 기획자</t>
        </is>
      </c>
      <c r="D75" s="130" t="n"/>
      <c r="E75" s="156" t="inlineStr">
        <is>
          <t>관리지표(KPI)·평가체계·정확도 개선 로드맵 수립</t>
        </is>
      </c>
      <c r="F75" s="130" t="n"/>
      <c r="G75" s="163" t="n">
        <v>11853218</v>
      </c>
      <c r="H75" s="158">
        <f>G75*144%</f>
        <v/>
      </c>
      <c r="I75" s="158">
        <f>(G75+H75)*20%</f>
        <v/>
      </c>
      <c r="J75" s="159" t="n">
        <v>1</v>
      </c>
      <c r="K75" s="160">
        <f>(G75+H75+I75)*J75</f>
        <v/>
      </c>
      <c r="L75" s="37" t="n"/>
      <c r="M75" s="37" t="n"/>
      <c r="N75" s="37" t="n"/>
      <c r="O75" s="37" t="n"/>
      <c r="P75" s="37" t="n"/>
      <c r="Q75" s="37" t="n"/>
      <c r="R75" s="37" t="n"/>
      <c r="S75" s="37" t="n"/>
      <c r="T75" s="37" t="n"/>
      <c r="U75" s="37" t="n"/>
      <c r="V75" s="37" t="n"/>
      <c r="W75" s="37" t="n"/>
      <c r="X75" s="37" t="n"/>
      <c r="Y75" s="37" t="n"/>
      <c r="Z75" s="37" t="n"/>
      <c r="AA75" s="37" t="n"/>
      <c r="AB75" s="37" t="n"/>
      <c r="AC75" s="37" t="n"/>
      <c r="AD75" s="37" t="n"/>
    </row>
    <row r="76" ht="20.4" customHeight="1">
      <c r="A76" s="161" t="n"/>
      <c r="B76" s="162" t="n"/>
      <c r="C76" s="76" t="inlineStr">
        <is>
          <t>데이터분석가</t>
        </is>
      </c>
      <c r="D76" s="130" t="n"/>
      <c r="E76" s="156" t="inlineStr">
        <is>
          <t>가스안전 전문 평가셋 구축·정량 평가·오답 분석</t>
        </is>
      </c>
      <c r="F76" s="130" t="n"/>
      <c r="G76" s="163" t="n">
        <v>8499309</v>
      </c>
      <c r="H76" s="158">
        <f>G76*144%</f>
        <v/>
      </c>
      <c r="I76" s="158">
        <f>(G76+H76)*20%</f>
        <v/>
      </c>
      <c r="J76" s="159" t="n">
        <v>3</v>
      </c>
      <c r="K76" s="160">
        <f>(G76+H76+I76)*J76</f>
        <v/>
      </c>
      <c r="L76" s="37" t="n"/>
      <c r="M76" s="37" t="n"/>
      <c r="N76" s="37" t="n"/>
      <c r="O76" s="37" t="n"/>
      <c r="P76" s="37" t="n"/>
      <c r="Q76" s="37" t="n"/>
      <c r="R76" s="37" t="n"/>
      <c r="S76" s="37" t="n"/>
      <c r="T76" s="37" t="n"/>
      <c r="U76" s="37" t="n"/>
      <c r="V76" s="37" t="n"/>
      <c r="W76" s="37" t="n"/>
      <c r="X76" s="37" t="n"/>
      <c r="Y76" s="37" t="n"/>
      <c r="Z76" s="37" t="n"/>
      <c r="AA76" s="37" t="n"/>
      <c r="AB76" s="37" t="n"/>
      <c r="AC76" s="37" t="n"/>
      <c r="AD76" s="37" t="n"/>
    </row>
    <row r="77" ht="30" customHeight="1">
      <c r="A77" s="161" t="n"/>
      <c r="B77" s="162" t="n"/>
      <c r="C77" s="76" t="inlineStr">
        <is>
          <t>응용SW 개발자</t>
        </is>
      </c>
      <c r="D77" s="130" t="n"/>
      <c r="E77" s="156" t="inlineStr">
        <is>
          <t>RAG 검색·청킹·Reranking 고도화, 근거제시·할루시네이션 가드레일, 성능평가 자동화</t>
        </is>
      </c>
      <c r="F77" s="130" t="n"/>
      <c r="G77" s="163" t="n">
        <v>7754124</v>
      </c>
      <c r="H77" s="158">
        <f>G77*144%</f>
        <v/>
      </c>
      <c r="I77" s="158">
        <f>(G77+H77)*20%</f>
        <v/>
      </c>
      <c r="J77" s="159" t="n">
        <v>5</v>
      </c>
      <c r="K77" s="160">
        <f>(G77+H77+I77)*J77</f>
        <v/>
      </c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  <c r="Z77" s="37" t="n"/>
      <c r="AA77" s="37" t="n"/>
      <c r="AB77" s="37" t="n"/>
      <c r="AC77" s="37" t="n"/>
      <c r="AD77" s="37" t="n"/>
    </row>
    <row r="78" ht="22.2" customHeight="1">
      <c r="A78" s="79" t="inlineStr">
        <is>
          <t>합계</t>
        </is>
      </c>
      <c r="B78" s="134" t="n"/>
      <c r="C78" s="134" t="n"/>
      <c r="D78" s="134" t="n"/>
      <c r="E78" s="134" t="n"/>
      <c r="F78" s="134" t="n"/>
      <c r="G78" s="134" t="n"/>
      <c r="H78" s="134" t="n"/>
      <c r="I78" s="134" t="n"/>
      <c r="J78" s="164">
        <f>SUM(J74:J77)</f>
        <v/>
      </c>
      <c r="K78" s="165">
        <f>SUM(K74:K77)</f>
        <v/>
      </c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  <c r="Z78" s="37" t="n"/>
      <c r="AA78" s="37" t="n"/>
      <c r="AB78" s="37" t="n"/>
      <c r="AC78" s="37" t="n"/>
      <c r="AD78" s="37" t="n"/>
    </row>
    <row r="79" ht="3" customHeight="1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  <c r="Y79" s="37" t="n"/>
      <c r="Z79" s="37" t="n"/>
      <c r="AA79" s="37" t="n"/>
      <c r="AB79" s="37" t="n"/>
      <c r="AC79" s="37" t="n"/>
      <c r="AD79" s="37" t="n"/>
    </row>
    <row r="80" ht="3" customHeight="1" thickBot="1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  <c r="Y80" s="37" t="n"/>
      <c r="Z80" s="37" t="n"/>
      <c r="AA80" s="37" t="n"/>
      <c r="AB80" s="37" t="n"/>
      <c r="AC80" s="37" t="n"/>
      <c r="AD80" s="37" t="n"/>
    </row>
    <row r="81" thickBot="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37" t="n"/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7" t="n"/>
      <c r="Y81" s="37" t="n"/>
      <c r="Z81" s="37" t="n"/>
      <c r="AA81" s="37" t="n"/>
      <c r="AB81" s="37" t="n"/>
      <c r="AC81" s="37" t="n"/>
      <c r="AD81" s="37" t="n"/>
    </row>
    <row r="82" ht="14.4" customHeight="1">
      <c r="A82" s="10" t="inlineStr">
        <is>
          <t>관련 세부 사항</t>
        </is>
      </c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  <c r="Y82" s="37" t="n"/>
      <c r="Z82" s="37" t="n"/>
      <c r="AA82" s="37" t="n"/>
      <c r="AB82" s="37" t="n"/>
      <c r="AC82" s="37" t="n"/>
      <c r="AD82" s="37" t="n"/>
    </row>
    <row r="83" ht="14.4" customHeight="1">
      <c r="A83" s="19" t="inlineStr">
        <is>
          <t>※ 기술협상안에 따라 개발비용은 조정이 가능합니다.</t>
        </is>
      </c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7" t="n"/>
      <c r="Y83" s="37" t="n"/>
      <c r="Z83" s="37" t="n"/>
      <c r="AA83" s="37" t="n"/>
      <c r="AB83" s="37" t="n"/>
      <c r="AC83" s="37" t="n"/>
      <c r="AD83" s="37" t="n"/>
    </row>
    <row r="84" ht="14.4" customHeight="1">
      <c r="A84" s="19" t="inlineStr">
        <is>
          <t>※ 구축완료 후 S/W 1년, H/W 2년 무상하자보수 적용되며, 무상하자보수 종료 후 유상유지보수 전환 합니다</t>
        </is>
      </c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  <c r="AA84" s="37" t="n"/>
      <c r="AB84" s="37" t="n"/>
      <c r="AC84" s="37" t="n"/>
      <c r="AD84" s="37" t="n"/>
    </row>
    <row r="85" ht="14.4" customHeight="1">
      <c r="A85" s="19" t="inlineStr">
        <is>
          <t xml:space="preserve"> - S/W : S/W 도입가의 15%</t>
        </is>
      </c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  <c r="AA85" s="37" t="n"/>
      <c r="AB85" s="37" t="n"/>
      <c r="AC85" s="37" t="n"/>
      <c r="AD85" s="37" t="n"/>
    </row>
    <row r="86" ht="14.4" customHeight="1">
      <c r="A86" s="19" t="inlineStr">
        <is>
          <t xml:space="preserve"> - H/W : H/W 도입가의 12%</t>
        </is>
      </c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  <c r="AA86" s="37" t="n"/>
      <c r="AB86" s="37" t="n"/>
      <c r="AC86" s="37" t="n"/>
      <c r="AD86" s="37" t="n"/>
    </row>
    <row r="87" ht="14.4" customHeight="1">
      <c r="A87" s="19" t="inlineStr">
        <is>
          <t>※ 도입인프라(H/W)는 제조사 견적 수령 후 별도 제출하며, 본 총 견적가(10억원)에 포함되지 않습니다.</t>
        </is>
      </c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  <c r="AA87" s="37" t="n"/>
      <c r="AB87" s="37" t="n"/>
      <c r="AC87" s="37" t="n"/>
      <c r="AD87" s="37" t="n"/>
    </row>
    <row r="88" ht="14.4" customHeight="1" thickBot="1">
      <c r="A88" s="19" t="inlineStr">
        <is>
          <t>※ 과제 3(대국민 서비스)의 외부망(DMZ)·웹방화벽 등 인프라 비용은 본 견적에 포함되지 않습니다.</t>
        </is>
      </c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  <c r="AA88" s="37" t="n"/>
      <c r="AB88" s="37" t="n"/>
      <c r="AC88" s="37" t="n"/>
      <c r="AD88" s="37" t="n"/>
    </row>
  </sheetData>
  <mergeCells count="102">
    <mergeCell ref="E19:J19"/>
    <mergeCell ref="A23:J23"/>
    <mergeCell ref="E62:F62"/>
    <mergeCell ref="A20:D20"/>
    <mergeCell ref="C64:D64"/>
    <mergeCell ref="E37:H37"/>
    <mergeCell ref="A44:D44"/>
    <mergeCell ref="E64:F64"/>
    <mergeCell ref="E73:F73"/>
    <mergeCell ref="C54:D54"/>
    <mergeCell ref="C63:D63"/>
    <mergeCell ref="E63:F63"/>
    <mergeCell ref="A15:D15"/>
    <mergeCell ref="A73:D73"/>
    <mergeCell ref="A27:B27"/>
    <mergeCell ref="C56:D56"/>
    <mergeCell ref="E65:F65"/>
    <mergeCell ref="C76:D76"/>
    <mergeCell ref="C27:D27"/>
    <mergeCell ref="A2:K2"/>
    <mergeCell ref="C36:D36"/>
    <mergeCell ref="A16:D16"/>
    <mergeCell ref="C67:D67"/>
    <mergeCell ref="A28:B28"/>
    <mergeCell ref="E75:F75"/>
    <mergeCell ref="C28:D28"/>
    <mergeCell ref="E53:F53"/>
    <mergeCell ref="E27:H27"/>
    <mergeCell ref="A39:B39"/>
    <mergeCell ref="E36:H36"/>
    <mergeCell ref="A17:D17"/>
    <mergeCell ref="A30:B30"/>
    <mergeCell ref="A32:J32"/>
    <mergeCell ref="C30:D30"/>
    <mergeCell ref="A22:D22"/>
    <mergeCell ref="A53:D53"/>
    <mergeCell ref="E55:F55"/>
    <mergeCell ref="A62:D62"/>
    <mergeCell ref="E67:F67"/>
    <mergeCell ref="A11:K11"/>
    <mergeCell ref="C45:D45"/>
    <mergeCell ref="A19:D19"/>
    <mergeCell ref="E48:F48"/>
    <mergeCell ref="C47:D47"/>
    <mergeCell ref="A40:J40"/>
    <mergeCell ref="A37:B37"/>
    <mergeCell ref="E22:J22"/>
    <mergeCell ref="E38:H38"/>
    <mergeCell ref="E21:J21"/>
    <mergeCell ref="A49:I49"/>
    <mergeCell ref="E76:F76"/>
    <mergeCell ref="A54:B57"/>
    <mergeCell ref="C57:D57"/>
    <mergeCell ref="C66:D66"/>
    <mergeCell ref="E6:K6"/>
    <mergeCell ref="E66:F66"/>
    <mergeCell ref="A69:I69"/>
    <mergeCell ref="A78:I78"/>
    <mergeCell ref="A74:B77"/>
    <mergeCell ref="C77:D77"/>
    <mergeCell ref="C68:D68"/>
    <mergeCell ref="E68:F68"/>
    <mergeCell ref="A36:B36"/>
    <mergeCell ref="E44:F44"/>
    <mergeCell ref="C29:D29"/>
    <mergeCell ref="C65:D65"/>
    <mergeCell ref="C75:D75"/>
    <mergeCell ref="C31:D31"/>
    <mergeCell ref="C46:D46"/>
    <mergeCell ref="E39:H39"/>
    <mergeCell ref="E77:F77"/>
    <mergeCell ref="E46:F46"/>
    <mergeCell ref="E18:J18"/>
    <mergeCell ref="E29:H29"/>
    <mergeCell ref="C48:D48"/>
    <mergeCell ref="E57:F57"/>
    <mergeCell ref="A38:B38"/>
    <mergeCell ref="C38:D38"/>
    <mergeCell ref="E31:H31"/>
    <mergeCell ref="E54:F54"/>
    <mergeCell ref="A21:D21"/>
    <mergeCell ref="A45:B48"/>
    <mergeCell ref="E56:F56"/>
    <mergeCell ref="E20:J20"/>
    <mergeCell ref="C74:D74"/>
    <mergeCell ref="E15:J15"/>
    <mergeCell ref="C55:D55"/>
    <mergeCell ref="E74:F74"/>
    <mergeCell ref="E16:J16"/>
    <mergeCell ref="A3:K3"/>
    <mergeCell ref="A63:B68"/>
    <mergeCell ref="E45:F45"/>
    <mergeCell ref="A58:I58"/>
    <mergeCell ref="C39:D39"/>
    <mergeCell ref="E28:H28"/>
    <mergeCell ref="A18:D18"/>
    <mergeCell ref="A29:B29"/>
    <mergeCell ref="C37:D37"/>
    <mergeCell ref="E30:H30"/>
    <mergeCell ref="E17:J17"/>
    <mergeCell ref="A31:B31"/>
    <mergeCell ref="E47:F47"/>
  </mergeCells>
  <printOptions horizontalCentered="1"/>
  <pageMargins left="0.2362204724409449" right="0.3937007874015748" top="0.5511811023622047" bottom="0.1574803149606299" header="0.9448818897637796" footer="0.3149606299212598"/>
  <pageSetup orientation="portrait" paperSize="9" scale="5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(주)코난테크놀로지 AI솔루션사업부</dc:creator>
  <dc:title xmlns:dc="http://purl.org/dc/elements/1.1/">견적서</dc:title>
  <dc:subject xmlns:dc="http://purl.org/dc/elements/1.1/">웅진닷컴 검색 서비스</dc:subject>
  <dcterms:created xmlns:dcterms="http://purl.org/dc/terms/" xmlns:xsi="http://www.w3.org/2001/XMLSchema-instance" xsi:type="dcterms:W3CDTF">2001-08-28T14:47:08Z</dcterms:created>
  <dcterms:modified xmlns:dcterms="http://purl.org/dc/terms/" xmlns:xsi="http://www.w3.org/2001/XMLSchema-instance" xsi:type="dcterms:W3CDTF">2026-10-08T09:21:44Z</dcterms:modified>
  <cp:lastModifiedBy>장 훈</cp:lastModifiedBy>
  <cp:category>견적서</cp:category>
  <cp:lastPrinted>2026-09-03T03:16:53Z</cp:lastPrinted>
</cp:coreProperties>
</file>

<file path=docProps/custom.xml><?xml version="1.0" encoding="utf-8"?>
<Properties xmlns="http://schemas.openxmlformats.org/officeDocument/2006/custom-properties">
  <property name="WorkbookGuid" fmtid="{D5CDD505-2E9C-101B-9397-08002B2CF9AE}" pid="2">
    <vt:lpwstr xmlns:vt="http://schemas.openxmlformats.org/officeDocument/2006/docPropsVTypes">bc2b49f2-ba1e-4c23-851d-a1f5f5d8f8d3</vt:lpwstr>
  </property>
</Properties>
</file>