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개요" sheetId="1" state="visible" r:id="rId3"/>
    <sheet name="1.과제-과업 매칭" sheetId="2" state="visible" r:id="rId4"/>
    <sheet name="2.SW 구성" sheetId="3" state="visible" r:id="rId5"/>
    <sheet name="3.견적서" sheetId="4" state="visible" r:id="rId6"/>
    <sheet name="4.27예산 대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<sst xmlns="http://schemas.openxmlformats.org/spreadsheetml/2006/main" count="850" uniqueCount="382">
  <si>
    <r>
      <rPr>
        <b val="true"/>
        <sz val="14"/>
        <rFont val="WenQuanYi Zen Hei"/>
        <family val="2"/>
      </rPr>
      <t xml:space="preserve">가스안전 </t>
    </r>
    <r>
      <rPr>
        <b val="true"/>
        <sz val="14"/>
        <rFont val="맑은 고딕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어드바이저 </t>
    </r>
    <r>
      <rPr>
        <b val="true"/>
        <sz val="14"/>
        <rFont val="맑은 고딕"/>
        <family val="0"/>
        <charset val="1"/>
      </rPr>
      <t xml:space="preserve">2.0 </t>
    </r>
    <r>
      <rPr>
        <b val="true"/>
        <sz val="14"/>
        <rFont val="WenQuanYi Zen Hei"/>
        <family val="2"/>
      </rPr>
      <t xml:space="preserve">고도화 — 과제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과업별 </t>
    </r>
    <r>
      <rPr>
        <b val="true"/>
        <sz val="14"/>
        <rFont val="맑은 고딕"/>
        <family val="0"/>
        <charset val="1"/>
      </rPr>
      <t xml:space="preserve">SW </t>
    </r>
    <r>
      <rPr>
        <b val="true"/>
        <sz val="14"/>
        <rFont val="WenQuanYi Zen Hei"/>
        <family val="2"/>
      </rPr>
      <t xml:space="preserve">예산 견적</t>
    </r>
  </si>
  <si>
    <r>
      <rPr>
        <sz val="9"/>
        <color rgb="FF595959"/>
        <rFont val="WenQuanYi Zen Hei"/>
        <family val="2"/>
      </rPr>
      <t xml:space="preserve">근거</t>
    </r>
    <r>
      <rPr>
        <sz val="9"/>
        <color rgb="FF595959"/>
        <rFont val="맑은 고딕"/>
        <family val="0"/>
        <charset val="1"/>
      </rPr>
      <t xml:space="preserve">: ①27</t>
    </r>
    <r>
      <rPr>
        <sz val="9"/>
        <color rgb="FF595959"/>
        <rFont val="WenQuanYi Zen Hei"/>
        <family val="2"/>
      </rPr>
      <t xml:space="preserve">년 신규사업 정부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국회 심의자료</t>
    </r>
    <r>
      <rPr>
        <sz val="9"/>
        <color rgb="FF595959"/>
        <rFont val="맑은 고딕"/>
        <family val="0"/>
        <charset val="1"/>
      </rPr>
      <t xml:space="preserve">(SW 758</t>
    </r>
    <r>
      <rPr>
        <sz val="9"/>
        <color rgb="FF595959"/>
        <rFont val="WenQuanYi Zen Hei"/>
        <family val="2"/>
      </rPr>
      <t xml:space="preserve">백만원</t>
    </r>
    <r>
      <rPr>
        <sz val="9"/>
        <color rgb="FF595959"/>
        <rFont val="맑은 고딕"/>
        <family val="0"/>
        <charset val="1"/>
      </rPr>
      <t xml:space="preserve">) ②</t>
    </r>
    <r>
      <rPr>
        <sz val="9"/>
        <color rgb="FF595959"/>
        <rFont val="WenQuanYi Zen Hei"/>
        <family val="2"/>
      </rPr>
      <t xml:space="preserve">가스안전 </t>
    </r>
    <r>
      <rPr>
        <sz val="9"/>
        <color rgb="FF595959"/>
        <rFont val="맑은 고딕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어드바이저 </t>
    </r>
    <r>
      <rPr>
        <sz val="9"/>
        <color rgb="FF595959"/>
        <rFont val="맑은 고딕"/>
        <family val="0"/>
        <charset val="1"/>
      </rPr>
      <t xml:space="preserve">2.0 </t>
    </r>
    <r>
      <rPr>
        <sz val="9"/>
        <color rgb="FF595959"/>
        <rFont val="WenQuanYi Zen Hei"/>
        <family val="2"/>
      </rPr>
      <t xml:space="preserve">고도화 추진계획</t>
    </r>
    <r>
      <rPr>
        <sz val="9"/>
        <color rgb="FF595959"/>
        <rFont val="맑은 고딕"/>
        <family val="0"/>
        <charset val="1"/>
      </rPr>
      <t xml:space="preserve">(2026.9, </t>
    </r>
    <r>
      <rPr>
        <sz val="9"/>
        <color rgb="FF595959"/>
        <rFont val="WenQuanYi Zen Hei"/>
        <family val="2"/>
      </rPr>
      <t xml:space="preserve">제도정책부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</si>
  <si>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■ 견적 산정 가정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노란 셀 </t>
    </r>
    <r>
      <rPr>
        <b val="true"/>
        <sz val="10"/>
        <rFont val="맑은 고딕"/>
        <family val="0"/>
        <charset val="1"/>
      </rPr>
      <t xml:space="preserve">= </t>
    </r>
    <r>
      <rPr>
        <b val="true"/>
        <sz val="10"/>
        <rFont val="WenQuanYi Zen Hei"/>
        <family val="2"/>
      </rPr>
      <t xml:space="preserve">수정 가능 입력값</t>
    </r>
    <r>
      <rPr>
        <b val="true"/>
        <sz val="10"/>
        <rFont val="맑은 고딕"/>
        <family val="0"/>
        <charset val="1"/>
      </rPr>
      <t xml:space="preserve">)</t>
    </r>
  </si>
  <si>
    <t xml:space="preserve">항목</t>
  </si>
  <si>
    <t xml:space="preserve">값</t>
  </si>
  <si>
    <r>
      <rPr>
        <b val="true"/>
        <sz val="10"/>
        <color rgb="FFFFFFFF"/>
        <rFont val="WenQuanYi Zen Hei"/>
        <family val="2"/>
      </rPr>
      <t xml:space="preserve">근거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설명</t>
    </r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</si>
  <si>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년 적용 응용</t>
    </r>
    <r>
      <rPr>
        <sz val="10"/>
        <rFont val="맑은 고딕"/>
        <family val="0"/>
        <charset val="1"/>
      </rPr>
      <t xml:space="preserve">SW</t>
    </r>
    <r>
      <rPr>
        <sz val="10"/>
        <rFont val="WenQuanYi Zen Hei"/>
        <family val="2"/>
      </rPr>
      <t xml:space="preserve">개발자 월평균임금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백만원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</si>
  <si>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KOSA 2025</t>
    </r>
    <r>
      <rPr>
        <sz val="10"/>
        <rFont val="WenQuanYi Zen Hei"/>
        <family val="2"/>
      </rPr>
      <t xml:space="preserve">년 적용 </t>
    </r>
    <r>
      <rPr>
        <sz val="10"/>
        <rFont val="맑은 고딕"/>
        <family val="0"/>
        <charset val="1"/>
      </rPr>
      <t xml:space="preserve">SW</t>
    </r>
    <r>
      <rPr>
        <sz val="10"/>
        <rFont val="WenQuanYi Zen Hei"/>
        <family val="2"/>
      </rPr>
      <t xml:space="preserve">기술자 평균임금 공표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응용</t>
    </r>
    <r>
      <rPr>
        <sz val="10"/>
        <rFont val="맑은 고딕"/>
        <family val="0"/>
        <charset val="1"/>
      </rPr>
      <t xml:space="preserve">SW</t>
    </r>
    <r>
      <rPr>
        <sz val="10"/>
        <rFont val="WenQuanYi Zen Hei"/>
        <family val="2"/>
      </rPr>
      <t xml:space="preserve">개발자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인공지능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빅데이터개발자 포함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6,943,457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</si>
  <si>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임금 인상률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</si>
  <si>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SW</t>
    </r>
    <r>
      <rPr>
        <sz val="10"/>
        <rFont val="WenQuanYi Zen Hei"/>
        <family val="2"/>
      </rPr>
      <t xml:space="preserve">기술자 노임단가 전년대비 </t>
    </r>
    <r>
      <rPr>
        <sz val="10"/>
        <rFont val="맑은 고딕"/>
        <family val="0"/>
        <charset val="1"/>
      </rPr>
      <t xml:space="preserve">+4.7%(</t>
    </r>
    <r>
      <rPr>
        <sz val="10"/>
        <rFont val="WenQuanYi Zen Hei"/>
        <family val="2"/>
      </rPr>
      <t xml:space="preserve">재게시 자료</t>
    </r>
    <r>
      <rPr>
        <sz val="10"/>
        <rFont val="맑은 고딕"/>
        <family val="0"/>
        <charset val="1"/>
      </rPr>
      <t xml:space="preserve">). KOSA 2026</t>
    </r>
    <r>
      <rPr>
        <sz val="10"/>
        <rFont val="WenQuanYi Zen Hei"/>
        <family val="2"/>
      </rPr>
      <t xml:space="preserve">년 적용 원문 공표치로 교체 권장</t>
    </r>
  </si>
  <si>
    <t xml:space="preserve">제경비율</t>
  </si>
  <si>
    <r>
      <rPr>
        <sz val="10"/>
        <rFont val="맑은 고딕"/>
        <family val="0"/>
        <charset val="1"/>
      </rPr>
      <t xml:space="preserve">SW</t>
    </r>
    <r>
      <rPr>
        <sz val="10"/>
        <rFont val="WenQuanYi Zen Hei"/>
        <family val="2"/>
      </rPr>
      <t xml:space="preserve">사업 대가산정 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직접인건비의 </t>
    </r>
    <r>
      <rPr>
        <sz val="10"/>
        <rFont val="맑은 고딕"/>
        <family val="0"/>
        <charset val="1"/>
      </rPr>
      <t xml:space="preserve">110~120%</t>
    </r>
  </si>
  <si>
    <t xml:space="preserve">기술료율</t>
  </si>
  <si>
    <r>
      <rPr>
        <sz val="10"/>
        <rFont val="맑은 고딕"/>
        <family val="0"/>
        <charset val="1"/>
      </rPr>
      <t xml:space="preserve">SW</t>
    </r>
    <r>
      <rPr>
        <sz val="10"/>
        <rFont val="WenQuanYi Zen Hei"/>
        <family val="2"/>
      </rPr>
      <t xml:space="preserve">사업 대가산정 가이드</t>
    </r>
    <r>
      <rPr>
        <sz val="10"/>
        <rFont val="맑은 고딕"/>
        <family val="0"/>
        <charset val="1"/>
      </rPr>
      <t xml:space="preserve">: (</t>
    </r>
    <r>
      <rPr>
        <sz val="10"/>
        <rFont val="WenQuanYi Zen Hei"/>
        <family val="2"/>
      </rPr>
      <t xml:space="preserve">직접인건비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제경비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20~40%</t>
    </r>
  </si>
  <si>
    <t xml:space="preserve">부가가치세율</t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</si>
  <si>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SW </t>
    </r>
    <r>
      <rPr>
        <sz val="10"/>
        <rFont val="WenQuanYi Zen Hei"/>
        <family val="2"/>
      </rPr>
      <t xml:space="preserve">예산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백만원</t>
    </r>
    <r>
      <rPr>
        <sz val="10"/>
        <rFont val="맑은 고딕"/>
        <family val="0"/>
        <charset val="1"/>
      </rPr>
      <t xml:space="preserve">, VAT</t>
    </r>
    <r>
      <rPr>
        <sz val="10"/>
        <rFont val="WenQuanYi Zen Hei"/>
        <family val="2"/>
      </rPr>
      <t xml:space="preserve">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</si>
  <si>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년 신규사업 정부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국회 심의자료 </t>
    </r>
    <r>
      <rPr>
        <sz val="10"/>
        <rFont val="맑은 고딕"/>
        <family val="0"/>
        <charset val="1"/>
      </rPr>
      <t xml:space="preserve">S/W </t>
    </r>
    <r>
      <rPr>
        <sz val="10"/>
        <rFont val="WenQuanYi Zen Hei"/>
        <family val="2"/>
      </rPr>
      <t xml:space="preserve">예산 합계</t>
    </r>
  </si>
  <si>
    <r>
      <rPr>
        <b val="true"/>
        <sz val="10"/>
        <rFont val="WenQuanYi Zen Hei"/>
        <family val="2"/>
      </rPr>
      <t xml:space="preserve">직접인건비 단가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백만원</t>
    </r>
    <r>
      <rPr>
        <b val="true"/>
        <sz val="10"/>
        <rFont val="맑은 고딕"/>
        <family val="0"/>
        <charset val="1"/>
      </rPr>
      <t xml:space="preserve">/MM, 2027 </t>
    </r>
    <r>
      <rPr>
        <b val="true"/>
        <sz val="10"/>
        <rFont val="WenQuanYi Zen Hei"/>
        <family val="2"/>
      </rPr>
      <t xml:space="preserve">적용 추정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</si>
  <si>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2025 </t>
    </r>
    <r>
      <rPr>
        <sz val="10"/>
        <rFont val="WenQuanYi Zen Hei"/>
        <family val="2"/>
      </rPr>
      <t xml:space="preserve">월평균임금 </t>
    </r>
    <r>
      <rPr>
        <sz val="10"/>
        <rFont val="맑은 고딕"/>
        <family val="0"/>
        <charset val="1"/>
      </rPr>
      <t xml:space="preserve">× (1+</t>
    </r>
    <r>
      <rPr>
        <sz val="10"/>
        <rFont val="WenQuanYi Zen Hei"/>
        <family val="2"/>
      </rPr>
      <t xml:space="preserve">인상률</t>
    </r>
    <r>
      <rPr>
        <sz val="10"/>
        <rFont val="맑은 고딕"/>
        <family val="0"/>
        <charset val="1"/>
      </rPr>
      <t xml:space="preserve">). 27</t>
    </r>
    <r>
      <rPr>
        <sz val="10"/>
        <rFont val="WenQuanYi Zen Hei"/>
        <family val="2"/>
      </rPr>
      <t xml:space="preserve">년 착수 시 </t>
    </r>
    <r>
      <rPr>
        <sz val="10"/>
        <rFont val="맑은 고딕"/>
        <family val="0"/>
        <charset val="1"/>
      </rPr>
      <t xml:space="preserve">2027</t>
    </r>
    <r>
      <rPr>
        <sz val="10"/>
        <rFont val="WenQuanYi Zen Hei"/>
        <family val="2"/>
      </rPr>
      <t xml:space="preserve">년 적용 공표치 반영 필요</t>
    </r>
  </si>
  <si>
    <r>
      <rPr>
        <b val="true"/>
        <sz val="10"/>
        <rFont val="WenQuanYi Zen Hei"/>
        <family val="2"/>
      </rPr>
      <t xml:space="preserve">투입 </t>
    </r>
    <r>
      <rPr>
        <b val="true"/>
        <sz val="10"/>
        <rFont val="맑은 고딕"/>
        <family val="0"/>
        <charset val="1"/>
      </rPr>
      <t xml:space="preserve">M/M </t>
    </r>
    <r>
      <rPr>
        <b val="true"/>
        <sz val="10"/>
        <rFont val="WenQuanYi Zen Hei"/>
        <family val="2"/>
      </rPr>
      <t xml:space="preserve">단가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백만원</t>
    </r>
    <r>
      <rPr>
        <b val="true"/>
        <sz val="10"/>
        <rFont val="맑은 고딕"/>
        <family val="0"/>
        <charset val="1"/>
      </rPr>
      <t xml:space="preserve">/MM, VAT</t>
    </r>
    <r>
      <rPr>
        <b val="true"/>
        <sz val="10"/>
        <rFont val="WenQuanYi Zen Hei"/>
        <family val="2"/>
      </rPr>
      <t xml:space="preserve">별도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</si>
  <si>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직접인건비 </t>
    </r>
    <r>
      <rPr>
        <sz val="10"/>
        <rFont val="맑은 고딕"/>
        <family val="0"/>
        <charset val="1"/>
      </rPr>
      <t xml:space="preserve">× (1+</t>
    </r>
    <r>
      <rPr>
        <sz val="10"/>
        <rFont val="WenQuanYi Zen Hei"/>
        <family val="2"/>
      </rPr>
      <t xml:space="preserve">제경비율</t>
    </r>
    <r>
      <rPr>
        <sz val="10"/>
        <rFont val="맑은 고딕"/>
        <family val="0"/>
        <charset val="1"/>
      </rPr>
      <t xml:space="preserve">) × (1+</t>
    </r>
    <r>
      <rPr>
        <sz val="10"/>
        <rFont val="WenQuanYi Zen Hei"/>
        <family val="2"/>
      </rPr>
      <t xml:space="preserve">기술료율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</si>
  <si>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■ 과제별 견적 요약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단위</t>
    </r>
    <r>
      <rPr>
        <b val="true"/>
        <sz val="10"/>
        <rFont val="맑은 고딕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백만원</t>
    </r>
    <r>
      <rPr>
        <b val="true"/>
        <sz val="10"/>
        <rFont val="맑은 고딕"/>
        <family val="0"/>
        <charset val="1"/>
      </rPr>
      <t xml:space="preserve">)</t>
    </r>
  </si>
  <si>
    <t xml:space="preserve">과제</t>
  </si>
  <si>
    <r>
      <rPr>
        <b val="true"/>
        <sz val="10"/>
        <color rgb="FFFFFFFF"/>
        <rFont val="WenQuanYi Zen Hei"/>
        <family val="2"/>
      </rPr>
      <t xml:space="preserve">투입 </t>
    </r>
    <r>
      <rPr>
        <b val="true"/>
        <sz val="10"/>
        <color rgb="FFFFFFFF"/>
        <rFont val="맑은 고딕"/>
        <family val="0"/>
        <charset val="1"/>
      </rPr>
      <t xml:space="preserve">M/M</t>
    </r>
  </si>
  <si>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맑은 고딕"/>
        <family val="0"/>
        <charset val="1"/>
      </rPr>
      <t xml:space="preserve">(VAT</t>
    </r>
    <r>
      <rPr>
        <b val="true"/>
        <sz val="10"/>
        <color rgb="FFFFFFFF"/>
        <rFont val="WenQuanYi Zen Hei"/>
        <family val="2"/>
      </rPr>
      <t xml:space="preserve">별도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</si>
  <si>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가스안전 지식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고도화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데이터 정비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</si>
  <si>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2 </t>
    </r>
    <r>
      <rPr>
        <sz val="10"/>
        <rFont val="WenQuanYi Zen Hei"/>
        <family val="2"/>
      </rPr>
      <t xml:space="preserve">스마트온 </t>
    </r>
    <r>
      <rPr>
        <sz val="10"/>
        <rFont val="맑은 고딕"/>
        <family val="0"/>
        <charset val="1"/>
      </rPr>
      <t xml:space="preserve">2.0 </t>
    </r>
    <r>
      <rPr>
        <sz val="10"/>
        <rFont val="WenQuanYi Zen Hei"/>
        <family val="2"/>
      </rPr>
      <t xml:space="preserve">연계를 통한 모바일 서비스 제공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</si>
  <si>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3 </t>
    </r>
    <r>
      <rPr>
        <sz val="10"/>
        <rFont val="WenQuanYi Zen Hei"/>
        <family val="2"/>
      </rPr>
      <t xml:space="preserve">사이버지사 </t>
    </r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질의 챗봇 구축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대국민 서비스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</si>
  <si>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4 "</t>
    </r>
    <r>
      <rPr>
        <sz val="10"/>
        <rFont val="WenQuanYi Zen Hei"/>
        <family val="2"/>
      </rPr>
      <t xml:space="preserve">정확도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넘어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신뢰성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확보 </t>
    </r>
    <r>
      <rPr>
        <sz val="10"/>
        <rFont val="맑은 고딕"/>
        <family val="0"/>
        <charset val="1"/>
      </rPr>
      <t xml:space="preserve">(AI </t>
    </r>
    <r>
      <rPr>
        <sz val="10"/>
        <rFont val="WenQuanYi Zen Hei"/>
        <family val="2"/>
      </rPr>
      <t xml:space="preserve">신뢰성 고도화</t>
    </r>
    <r>
      <rPr>
        <sz val="10"/>
        <rFont val="맑은 고딕"/>
        <family val="0"/>
        <charset val="1"/>
      </rPr>
      <t xml:space="preserve">)</t>
    </r>
  </si>
  <si>
    <t xml:space="preserve">공통 사업관리 및 품질보증</t>
  </si>
  <si>
    <t xml:space="preserve">공급가액 합계</t>
  </si>
  <si>
    <t xml:space="preserve">부가가치세</t>
  </si>
  <si>
    <r>
      <rPr>
        <b val="true"/>
        <sz val="10"/>
        <rFont val="WenQuanYi Zen Hei"/>
        <family val="2"/>
      </rPr>
      <t xml:space="preserve">총 견적액</t>
    </r>
    <r>
      <rPr>
        <b val="true"/>
        <sz val="10"/>
        <rFont val="맑은 고딕"/>
        <family val="0"/>
        <charset val="1"/>
      </rPr>
      <t xml:space="preserve">(VAT</t>
    </r>
    <r>
      <rPr>
        <b val="true"/>
        <sz val="10"/>
        <rFont val="WenQuanYi Zen Hei"/>
        <family val="2"/>
      </rPr>
      <t xml:space="preserve">포함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</si>
  <si>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27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SW </t>
    </r>
    <r>
      <rPr>
        <b val="true"/>
        <sz val="10"/>
        <rFont val="WenQuanYi Zen Hei"/>
        <family val="2"/>
      </rPr>
      <t xml:space="preserve">예산</t>
    </r>
  </si>
  <si>
    <t xml:space="preserve">예산 대비 차액</t>
  </si>
  <si>
    <t xml:space="preserve">■ 범례</t>
  </si>
  <si>
    <t xml:space="preserve">● 일치</t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</si>
  <si>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예산 </t>
    </r>
    <r>
      <rPr>
        <sz val="10"/>
        <rFont val="맑은 고딕"/>
        <family val="0"/>
        <charset val="1"/>
      </rPr>
      <t xml:space="preserve">SW</t>
    </r>
    <r>
      <rPr>
        <sz val="10"/>
        <rFont val="WenQuanYi Zen Hei"/>
        <family val="2"/>
      </rPr>
      <t xml:space="preserve">항목과 고도화 기획안 과업이 일치</t>
    </r>
  </si>
  <si>
    <r>
      <rPr>
        <b val="true"/>
        <sz val="10"/>
        <rFont val="WenQuanYi Zen Hei"/>
        <family val="2"/>
      </rPr>
      <t xml:space="preserve">◐ 부분일치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범위확대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</si>
  <si>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예산에 있으나 기획안 기준으로 범위 확대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구체화 필요</t>
    </r>
  </si>
  <si>
    <t xml:space="preserve">★ 기획안에만 있음</t>
  </si>
  <si>
    <r>
      <rPr>
        <sz val="10"/>
        <rFont val="WenQuanYi Zen Hei"/>
        <family val="2"/>
      </rPr>
      <t xml:space="preserve">고도화 기획안에만 있는 과업</t>
    </r>
    <r>
      <rPr>
        <sz val="10"/>
        <rFont val="맑은 고딕"/>
        <family val="0"/>
        <charset val="1"/>
      </rPr>
      <t xml:space="preserve">(27</t>
    </r>
    <r>
      <rPr>
        <sz val="10"/>
        <rFont val="WenQuanYi Zen Hei"/>
        <family val="2"/>
      </rPr>
      <t xml:space="preserve">예산 미반영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신규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</si>
  <si>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▲ 27</t>
    </r>
    <r>
      <rPr>
        <b val="true"/>
        <sz val="10"/>
        <rFont val="WenQuanYi Zen Hei"/>
        <family val="2"/>
      </rPr>
      <t xml:space="preserve">예산에만 있음</t>
    </r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</si>
  <si>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예산에만 있는 과업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기획안 로드맵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 </t>
    </r>
    <r>
      <rPr>
        <sz val="10"/>
        <rFont val="맑은 고딕"/>
        <family val="0"/>
        <charset val="1"/>
      </rPr>
      <t xml:space="preserve">'28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</si>
  <si>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파란 글씨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WenQuanYi Zen Hei"/>
        <family val="2"/>
      </rPr>
      <t xml:space="preserve">노란 셀</t>
    </r>
  </si>
  <si>
    <r>
      <rPr>
        <sz val="10"/>
        <rFont val="WenQuanYi Zen Hei"/>
        <family val="2"/>
      </rPr>
      <t xml:space="preserve">수정 가능한 입력값</t>
    </r>
    <r>
      <rPr>
        <sz val="10"/>
        <rFont val="맑은 고딕"/>
        <family val="0"/>
        <charset val="1"/>
      </rPr>
      <t xml:space="preserve">(M/M, </t>
    </r>
    <r>
      <rPr>
        <sz val="10"/>
        <rFont val="WenQuanYi Zen Hei"/>
        <family val="2"/>
      </rPr>
      <t xml:space="preserve">단가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요율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수정 시 전 시트 자동 재계산</t>
    </r>
  </si>
  <si>
    <t xml:space="preserve">초록 글씨</t>
  </si>
  <si>
    <t xml:space="preserve">다른 시트 참조 수식</t>
  </si>
  <si>
    <t xml:space="preserve">■ 유의사항</t>
  </si>
  <si>
    <r>
      <rPr>
        <sz val="10"/>
        <rFont val="맑은 고딕"/>
        <family val="0"/>
        <charset val="1"/>
      </rPr>
      <t xml:space="preserve">1) M/M </t>
    </r>
    <r>
      <rPr>
        <sz val="10"/>
        <rFont val="WenQuanYi Zen Hei"/>
        <family val="2"/>
      </rPr>
      <t xml:space="preserve">단가는 </t>
    </r>
    <r>
      <rPr>
        <sz val="10"/>
        <rFont val="맑은 고딕"/>
        <family val="0"/>
        <charset val="1"/>
      </rPr>
      <t xml:space="preserve">KOSA 2025</t>
    </r>
    <r>
      <rPr>
        <sz val="10"/>
        <rFont val="WenQuanYi Zen Hei"/>
        <family val="2"/>
      </rPr>
      <t xml:space="preserve">년 적용 평균임금에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인상률</t>
    </r>
    <r>
      <rPr>
        <sz val="10"/>
        <rFont val="맑은 고딕"/>
        <family val="0"/>
        <charset val="1"/>
      </rPr>
      <t xml:space="preserve">(4.7%)</t>
    </r>
    <r>
      <rPr>
        <sz val="10"/>
        <rFont val="WenQuanYi Zen Hei"/>
        <family val="2"/>
      </rPr>
      <t xml:space="preserve">을 적용한 추정치이며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착수 시점 공표치로 갱신 필요</t>
    </r>
  </si>
  <si>
    <r>
      <rPr>
        <sz val="10"/>
        <rFont val="맑은 고딕"/>
        <family val="0"/>
        <charset val="1"/>
      </rPr>
      <t xml:space="preserve">2) STT </t>
    </r>
    <r>
      <rPr>
        <sz val="10"/>
        <rFont val="WenQuanYi Zen Hei"/>
        <family val="2"/>
      </rPr>
      <t xml:space="preserve">엔진</t>
    </r>
    <r>
      <rPr>
        <sz val="10"/>
        <rFont val="맑은 고딕"/>
        <family val="0"/>
        <charset val="1"/>
      </rPr>
      <t xml:space="preserve">(30)·</t>
    </r>
    <r>
      <rPr>
        <sz val="10"/>
        <rFont val="WenQuanYi Zen Hei"/>
        <family val="2"/>
      </rPr>
      <t xml:space="preserve">전문가 자문</t>
    </r>
    <r>
      <rPr>
        <sz val="10"/>
        <rFont val="맑은 고딕"/>
        <family val="0"/>
        <charset val="1"/>
      </rPr>
      <t xml:space="preserve">(8)</t>
    </r>
    <r>
      <rPr>
        <sz val="10"/>
        <rFont val="WenQuanYi Zen Hei"/>
        <family val="2"/>
      </rPr>
      <t xml:space="preserve">은 가정치로 업체 견적 확인 필요</t>
    </r>
    <r>
      <rPr>
        <sz val="10"/>
        <rFont val="맑은 고딕"/>
        <family val="0"/>
        <charset val="1"/>
      </rPr>
      <t xml:space="preserve">. DRM·SSO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예산 금액</t>
    </r>
    <r>
      <rPr>
        <sz val="10"/>
        <rFont val="맑은 고딕"/>
        <family val="0"/>
        <charset val="1"/>
      </rPr>
      <t xml:space="preserve">(VAT</t>
    </r>
    <r>
      <rPr>
        <sz val="10"/>
        <rFont val="WenQuanYi Zen Hei"/>
        <family val="2"/>
      </rPr>
      <t xml:space="preserve">포함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공급가 기준</t>
    </r>
  </si>
  <si>
    <r>
      <rPr>
        <sz val="10"/>
        <rFont val="맑은 고딕"/>
        <family val="0"/>
        <charset val="1"/>
      </rPr>
      <t xml:space="preserve">3) </t>
    </r>
    <r>
      <rPr>
        <sz val="10"/>
        <rFont val="WenQuanYi Zen Hei"/>
        <family val="2"/>
      </rPr>
      <t xml:space="preserve">업무지원 </t>
    </r>
    <r>
      <rPr>
        <sz val="10"/>
        <rFont val="맑은 고딕"/>
        <family val="0"/>
        <charset val="1"/>
      </rPr>
      <t xml:space="preserve">Agent(200)·</t>
    </r>
    <r>
      <rPr>
        <sz val="10"/>
        <rFont val="WenQuanYi Zen Hei"/>
        <family val="2"/>
      </rPr>
      <t xml:space="preserve">전자결재 연계</t>
    </r>
    <r>
      <rPr>
        <sz val="10"/>
        <rFont val="맑은 고딕"/>
        <family val="0"/>
        <charset val="1"/>
      </rPr>
      <t xml:space="preserve">(60)</t>
    </r>
    <r>
      <rPr>
        <sz val="10"/>
        <rFont val="WenQuanYi Zen Hei"/>
        <family val="2"/>
      </rPr>
      <t xml:space="preserve">는 기획안 로드맵상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('28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본 견적에서 제외하고 그 재원을 기획안 신규 과업에 재배분</t>
    </r>
  </si>
  <si>
    <r>
      <rPr>
        <sz val="10"/>
        <rFont val="맑은 고딕"/>
        <family val="0"/>
        <charset val="1"/>
      </rPr>
      <t xml:space="preserve">4) </t>
    </r>
    <r>
      <rPr>
        <sz val="10"/>
        <rFont val="WenQuanYi Zen Hei"/>
        <family val="2"/>
      </rPr>
      <t xml:space="preserve">대국민 챗봇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3) </t>
    </r>
    <r>
      <rPr>
        <sz val="10"/>
        <rFont val="WenQuanYi Zen Hei"/>
        <family val="2"/>
      </rPr>
      <t xml:space="preserve">운영을 위한 외부망</t>
    </r>
    <r>
      <rPr>
        <sz val="10"/>
        <rFont val="맑은 고딕"/>
        <family val="0"/>
        <charset val="1"/>
      </rPr>
      <t xml:space="preserve">(DMZ)·</t>
    </r>
    <r>
      <rPr>
        <sz val="10"/>
        <rFont val="WenQuanYi Zen Hei"/>
        <family val="2"/>
      </rPr>
      <t xml:space="preserve">웹방화벽 등 </t>
    </r>
    <r>
      <rPr>
        <sz val="10"/>
        <rFont val="맑은 고딕"/>
        <family val="0"/>
        <charset val="1"/>
      </rPr>
      <t xml:space="preserve">H/W·</t>
    </r>
    <r>
      <rPr>
        <sz val="10"/>
        <rFont val="WenQuanYi Zen Hei"/>
        <family val="2"/>
      </rPr>
      <t xml:space="preserve">보안 인프라는 </t>
    </r>
    <r>
      <rPr>
        <sz val="10"/>
        <rFont val="맑은 고딕"/>
        <family val="0"/>
        <charset val="1"/>
      </rPr>
      <t xml:space="preserve">27 H/W </t>
    </r>
    <r>
      <rPr>
        <sz val="10"/>
        <rFont val="WenQuanYi Zen Hei"/>
        <family val="2"/>
      </rPr>
      <t xml:space="preserve">예산</t>
    </r>
    <r>
      <rPr>
        <sz val="10"/>
        <rFont val="맑은 고딕"/>
        <family val="0"/>
        <charset val="1"/>
      </rPr>
      <t xml:space="preserve">(476, </t>
    </r>
    <r>
      <rPr>
        <sz val="10"/>
        <rFont val="WenQuanYi Zen Hei"/>
        <family val="2"/>
      </rPr>
      <t xml:space="preserve">내부망 기준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없어 별도 검토 필요</t>
    </r>
  </si>
  <si>
    <r>
      <rPr>
        <b val="true"/>
        <sz val="14"/>
        <rFont val="WenQuanYi Zen Hei"/>
        <family val="2"/>
      </rPr>
      <t xml:space="preserve">① 과제</t>
    </r>
    <r>
      <rPr>
        <b val="true"/>
        <sz val="14"/>
        <rFont val="맑은 고딕"/>
        <family val="0"/>
        <charset val="1"/>
      </rPr>
      <t xml:space="preserve">-</t>
    </r>
    <r>
      <rPr>
        <b val="true"/>
        <sz val="14"/>
        <rFont val="WenQuanYi Zen Hei"/>
        <family val="2"/>
      </rPr>
      <t xml:space="preserve">과업 정리 및 ② </t>
    </r>
    <r>
      <rPr>
        <b val="true"/>
        <sz val="14"/>
        <rFont val="맑은 고딕"/>
        <family val="0"/>
        <charset val="1"/>
      </rPr>
      <t xml:space="preserve">27</t>
    </r>
    <r>
      <rPr>
        <b val="true"/>
        <sz val="14"/>
        <rFont val="WenQuanYi Zen Hei"/>
        <family val="2"/>
      </rPr>
      <t xml:space="preserve">년 예산 매칭</t>
    </r>
  </si>
  <si>
    <r>
      <rPr>
        <sz val="9"/>
        <color rgb="FF595959"/>
        <rFont val="WenQuanYi Zen Hei"/>
        <family val="2"/>
      </rPr>
      <t xml:space="preserve">매칭구분</t>
    </r>
    <r>
      <rPr>
        <sz val="9"/>
        <color rgb="FF595959"/>
        <rFont val="맑은 고딕"/>
        <family val="0"/>
        <charset val="1"/>
      </rPr>
      <t xml:space="preserve">: ● </t>
    </r>
    <r>
      <rPr>
        <sz val="9"/>
        <color rgb="FF595959"/>
        <rFont val="WenQuanYi Zen Hei"/>
        <family val="2"/>
      </rPr>
      <t xml:space="preserve">일치</t>
    </r>
    <r>
      <rPr>
        <sz val="9"/>
        <color rgb="FF595959"/>
        <rFont val="맑은 고딕"/>
        <family val="0"/>
        <charset val="1"/>
      </rPr>
      <t xml:space="preserve">(27</t>
    </r>
    <r>
      <rPr>
        <sz val="9"/>
        <color rgb="FF595959"/>
        <rFont val="WenQuanYi Zen Hei"/>
        <family val="2"/>
      </rPr>
      <t xml:space="preserve">예산 반영</t>
    </r>
    <r>
      <rPr>
        <sz val="9"/>
        <color rgb="FF595959"/>
        <rFont val="맑은 고딕"/>
        <family val="0"/>
        <charset val="1"/>
      </rPr>
      <t xml:space="preserve">) / ◐ </t>
    </r>
    <r>
      <rPr>
        <sz val="9"/>
        <color rgb="FF595959"/>
        <rFont val="WenQuanYi Zen Hei"/>
        <family val="2"/>
      </rPr>
      <t xml:space="preserve">부분일치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범위 확대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구체화 필요</t>
    </r>
    <r>
      <rPr>
        <sz val="9"/>
        <color rgb="FF595959"/>
        <rFont val="맑은 고딕"/>
        <family val="0"/>
        <charset val="1"/>
      </rPr>
      <t xml:space="preserve">) / ★ </t>
    </r>
    <r>
      <rPr>
        <sz val="9"/>
        <color rgb="FF595959"/>
        <rFont val="WenQuanYi Zen Hei"/>
        <family val="2"/>
      </rPr>
      <t xml:space="preserve">기획안에만 있음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신규</t>
    </r>
    <r>
      <rPr>
        <sz val="9"/>
        <color rgb="FF595959"/>
        <rFont val="맑은 고딕"/>
        <family val="0"/>
        <charset val="1"/>
      </rPr>
      <t xml:space="preserve">) / ▲ 27</t>
    </r>
    <r>
      <rPr>
        <sz val="9"/>
        <color rgb="FF595959"/>
        <rFont val="WenQuanYi Zen Hei"/>
        <family val="2"/>
      </rPr>
      <t xml:space="preserve">예산에만 있음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기획안 </t>
    </r>
    <r>
      <rPr>
        <sz val="9"/>
        <color rgb="FF595959"/>
        <rFont val="맑은 고딕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단계</t>
    </r>
    <r>
      <rPr>
        <sz val="9"/>
        <color rgb="FF595959"/>
        <rFont val="맑은 고딕"/>
        <family val="0"/>
        <charset val="1"/>
      </rPr>
      <t xml:space="preserve">)</t>
    </r>
  </si>
  <si>
    <t xml:space="preserve">과제명</t>
  </si>
  <si>
    <r>
      <rPr>
        <b val="true"/>
        <sz val="10"/>
        <color rgb="FFFFFFFF"/>
        <rFont val="WenQuanYi Zen Hei"/>
        <family val="2"/>
      </rPr>
      <t xml:space="preserve">과업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</si>
  <si>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과업명</t>
  </si>
  <si>
    <t xml:space="preserve">고도화 기획안 근거</t>
  </si>
  <si>
    <r>
      <rPr>
        <b val="true"/>
        <sz val="10"/>
        <color rgb="FFFFFFFF"/>
        <rFont val="WenQuanYi Zen Hei"/>
        <family val="2"/>
      </rPr>
      <t xml:space="preserve">대응 </t>
    </r>
    <r>
      <rPr>
        <b val="true"/>
        <sz val="10"/>
        <color rgb="FFFFFFFF"/>
        <rFont val="맑은 고딕"/>
        <family val="0"/>
        <charset val="1"/>
      </rPr>
      <t xml:space="preserve">27</t>
    </r>
    <r>
      <rPr>
        <b val="true"/>
        <sz val="10"/>
        <color rgb="FFFFFFFF"/>
        <rFont val="WenQuanYi Zen Hei"/>
        <family val="2"/>
      </rPr>
      <t xml:space="preserve">예산 </t>
    </r>
    <r>
      <rPr>
        <b val="true"/>
        <sz val="10"/>
        <color rgb="FFFFFFFF"/>
        <rFont val="맑은 고딕"/>
        <family val="0"/>
        <charset val="1"/>
      </rPr>
      <t xml:space="preserve">SW</t>
    </r>
    <r>
      <rPr>
        <b val="true"/>
        <sz val="10"/>
        <color rgb="FFFFFFFF"/>
        <rFont val="WenQuanYi Zen Hei"/>
        <family val="2"/>
      </rPr>
      <t xml:space="preserve">항목</t>
    </r>
  </si>
  <si>
    <r>
      <rPr>
        <b val="true"/>
        <sz val="10"/>
        <color rgb="FFFFFFFF"/>
        <rFont val="맑은 고딕"/>
        <family val="0"/>
        <charset val="1"/>
      </rPr>
      <t xml:space="preserve">27</t>
    </r>
    <r>
      <rPr>
        <b val="true"/>
        <sz val="10"/>
        <color rgb="FFFFFFFF"/>
        <rFont val="WenQuanYi Zen Hei"/>
        <family val="2"/>
      </rPr>
      <t xml:space="preserve">예산 비고상 대응내용</t>
    </r>
  </si>
  <si>
    <t xml:space="preserve">매칭구분</t>
  </si>
  <si>
    <r>
      <rPr>
        <b val="true"/>
        <sz val="10"/>
        <rFont val="WenQuanYi Zen Hei"/>
        <family val="2"/>
      </rPr>
      <t xml:space="preserve">과제</t>
    </r>
    <r>
      <rPr>
        <b val="true"/>
        <sz val="10"/>
        <rFont val="맑은 고딕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</si>
  <si>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가스안전 지식</t>
    </r>
    <r>
      <rPr>
        <b val="true"/>
        <sz val="10"/>
        <rFont val="맑은 고딕"/>
        <family val="0"/>
        <charset val="1"/>
      </rPr>
      <t xml:space="preserve">DB </t>
    </r>
    <r>
      <rPr>
        <b val="true"/>
        <sz val="10"/>
        <rFont val="WenQuanYi Zen Hei"/>
        <family val="2"/>
      </rPr>
      <t xml:space="preserve">고도화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데이터 정비</t>
    </r>
    <r>
      <rPr>
        <b val="true"/>
        <sz val="10"/>
        <rFont val="맑은 고딕"/>
        <family val="0"/>
        <charset val="1"/>
      </rPr>
      <t xml:space="preserve">)</t>
    </r>
  </si>
  <si>
    <t xml:space="preserve">1-1</t>
  </si>
  <si>
    <t xml:space="preserve">비정형 지식자산 전수조사 및 데이터 컨설팅</t>
  </si>
  <si>
    <r>
      <rPr>
        <sz val="10"/>
        <rFont val="WenQuanYi Zen Hei"/>
        <family val="2"/>
      </rPr>
      <t xml:space="preserve">부서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개인 보유 비정형 자료 전수조사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수집→분류→정제→표준화→검증→최신화 절차 수립</t>
    </r>
  </si>
  <si>
    <t xml:space="preserve">-</t>
  </si>
  <si>
    <t xml:space="preserve">1-2</t>
  </si>
  <si>
    <r>
      <rPr>
        <sz val="10"/>
        <rFont val="WenQuanYi Zen Hei"/>
        <family val="2"/>
      </rPr>
      <t xml:space="preserve">법령</t>
    </r>
    <r>
      <rPr>
        <sz val="10"/>
        <rFont val="맑은 고딕"/>
        <family val="0"/>
        <charset val="1"/>
      </rPr>
      <t xml:space="preserve">·KGS Code·</t>
    </r>
    <r>
      <rPr>
        <sz val="10"/>
        <rFont val="WenQuanYi Zen Hei"/>
        <family val="2"/>
      </rPr>
      <t xml:space="preserve">규정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매뉴얼</t>
    </r>
    <r>
      <rPr>
        <sz val="10"/>
        <rFont val="맑은 고딕"/>
        <family val="0"/>
        <charset val="1"/>
      </rPr>
      <t xml:space="preserve">·FAQ </t>
    </r>
    <r>
      <rPr>
        <sz val="10"/>
        <rFont val="WenQuanYi Zen Hei"/>
        <family val="2"/>
      </rPr>
      <t xml:space="preserve">데이터 정비</t>
    </r>
  </si>
  <si>
    <r>
      <rPr>
        <sz val="10"/>
        <rFont val="WenQuanYi Zen Hei"/>
        <family val="2"/>
      </rPr>
      <t xml:space="preserve">법령</t>
    </r>
    <r>
      <rPr>
        <sz val="10"/>
        <rFont val="맑은 고딕"/>
        <family val="0"/>
        <charset val="1"/>
      </rPr>
      <t xml:space="preserve">·KGS Code·</t>
    </r>
    <r>
      <rPr>
        <sz val="10"/>
        <rFont val="WenQuanYi Zen Hei"/>
        <family val="2"/>
      </rPr>
      <t xml:space="preserve">규정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매뉴얼</t>
    </r>
    <r>
      <rPr>
        <sz val="10"/>
        <rFont val="맑은 고딕"/>
        <family val="0"/>
        <charset val="1"/>
      </rPr>
      <t xml:space="preserve">·FAQ </t>
    </r>
    <r>
      <rPr>
        <sz val="10"/>
        <rFont val="WenQuanYi Zen Hei"/>
        <family val="2"/>
      </rPr>
      <t xml:space="preserve">등 데이터 정비</t>
    </r>
  </si>
  <si>
    <r>
      <rPr>
        <sz val="10"/>
        <rFont val="맑은 고딕"/>
        <family val="0"/>
        <charset val="1"/>
      </rPr>
      <t xml:space="preserve">RAG </t>
    </r>
    <r>
      <rPr>
        <sz val="10"/>
        <rFont val="WenQuanYi Zen Hei"/>
        <family val="2"/>
      </rPr>
      <t xml:space="preserve">데이터 구축 및 고도화</t>
    </r>
  </si>
  <si>
    <r>
      <rPr>
        <sz val="10"/>
        <rFont val="WenQuanYi Zen Hei"/>
        <family val="2"/>
      </rPr>
      <t xml:space="preserve">내부 문서 수집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전처리 체계 고도화</t>
    </r>
  </si>
  <si>
    <t xml:space="preserve">1-3</t>
  </si>
  <si>
    <t xml:space="preserve">데이터 표준화 및 메타데이터 구축</t>
  </si>
  <si>
    <r>
      <rPr>
        <sz val="10"/>
        <rFont val="WenQuanYi Zen Hei"/>
        <family val="2"/>
      </rPr>
      <t xml:space="preserve">메타데이터 및 벡터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관리 고도화</t>
    </r>
  </si>
  <si>
    <t xml:space="preserve">1-4</t>
  </si>
  <si>
    <t xml:space="preserve">자료 최신화 및 버전관리 체계 구축</t>
  </si>
  <si>
    <t xml:space="preserve">데이터 관리 및 운영 기능</t>
  </si>
  <si>
    <r>
      <rPr>
        <sz val="10"/>
        <rFont val="WenQuanYi Zen Hei"/>
        <family val="2"/>
      </rPr>
      <t xml:space="preserve">데이터 갱신 및 운영 기능 강화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사업개요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법령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코드 자동 업로드</t>
    </r>
    <r>
      <rPr>
        <sz val="10"/>
        <rFont val="맑은 고딕"/>
        <family val="0"/>
        <charset val="1"/>
      </rPr>
      <t xml:space="preserve">)</t>
    </r>
  </si>
  <si>
    <t xml:space="preserve">1-5</t>
  </si>
  <si>
    <r>
      <rPr>
        <sz val="10"/>
        <rFont val="WenQuanYi Zen Hei"/>
        <family val="2"/>
      </rPr>
      <t xml:space="preserve">지식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관리자 기능 개선</t>
    </r>
  </si>
  <si>
    <r>
      <rPr>
        <sz val="10"/>
        <rFont val="WenQuanYi Zen Hei"/>
        <family val="2"/>
      </rPr>
      <t xml:space="preserve">관리자 기능 고도화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관리자 기반 </t>
    </r>
    <r>
      <rPr>
        <sz val="10"/>
        <rFont val="맑은 고딕"/>
        <family val="0"/>
        <charset val="1"/>
      </rPr>
      <t xml:space="preserve">RAG </t>
    </r>
    <r>
      <rPr>
        <sz val="10"/>
        <rFont val="WenQuanYi Zen Hei"/>
        <family val="2"/>
      </rPr>
      <t xml:space="preserve">데이터 관리 기능 고도화</t>
    </r>
  </si>
  <si>
    <t xml:space="preserve">1-6</t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</si>
  <si>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차 사업 제외자료 확대 적재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</si>
  <si>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사업 제외자료 확대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고도화 추진방향</t>
    </r>
    <r>
      <rPr>
        <sz val="10"/>
        <rFont val="맑은 고딕"/>
        <family val="0"/>
        <charset val="1"/>
      </rPr>
      <t xml:space="preserve">)</t>
    </r>
  </si>
  <si>
    <t xml:space="preserve">1-7</t>
  </si>
  <si>
    <r>
      <rPr>
        <sz val="10"/>
        <rFont val="WenQuanYi Zen Hei"/>
        <family val="2"/>
      </rPr>
      <t xml:space="preserve">개인정보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민감정보 필터링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</si>
  <si>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기획안 </t>
    </r>
    <r>
      <rPr>
        <sz val="10"/>
        <rFont val="맑은 고딕"/>
        <family val="0"/>
        <charset val="1"/>
      </rPr>
      <t xml:space="preserve">KPI: </t>
    </r>
    <r>
      <rPr>
        <sz val="10"/>
        <rFont val="WenQuanYi Zen Hei"/>
        <family val="2"/>
      </rPr>
      <t xml:space="preserve">개인정보 침해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내부정보 외부노출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</si>
  <si>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t xml:space="preserve">개인정보 및 민감정보 필터링 적용</t>
  </si>
  <si>
    <r>
      <rPr>
        <b val="true"/>
        <sz val="10"/>
        <rFont val="WenQuanYi Zen Hei"/>
        <family val="2"/>
      </rPr>
      <t xml:space="preserve">과제</t>
    </r>
    <r>
      <rPr>
        <b val="true"/>
        <sz val="10"/>
        <rFont val="맑은 고딕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</si>
  <si>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스마트온 </t>
    </r>
    <r>
      <rPr>
        <b val="true"/>
        <sz val="10"/>
        <rFont val="맑은 고딕"/>
        <family val="0"/>
        <charset val="1"/>
      </rPr>
      <t xml:space="preserve">2.0 </t>
    </r>
    <r>
      <rPr>
        <b val="true"/>
        <sz val="10"/>
        <rFont val="WenQuanYi Zen Hei"/>
        <family val="2"/>
      </rPr>
      <t xml:space="preserve">연계를 통한 모바일 서비스 제공</t>
    </r>
  </si>
  <si>
    <t xml:space="preserve">2-1</t>
  </si>
  <si>
    <r>
      <rPr>
        <sz val="10"/>
        <rFont val="WenQuanYi Zen Hei"/>
        <family val="2"/>
      </rPr>
      <t xml:space="preserve">스마트온 </t>
    </r>
    <r>
      <rPr>
        <sz val="10"/>
        <rFont val="맑은 고딕"/>
        <family val="0"/>
        <charset val="1"/>
      </rPr>
      <t xml:space="preserve">2.0 </t>
    </r>
    <r>
      <rPr>
        <sz val="10"/>
        <rFont val="WenQuanYi Zen Hei"/>
        <family val="2"/>
      </rPr>
      <t xml:space="preserve">연계</t>
    </r>
  </si>
  <si>
    <r>
      <rPr>
        <sz val="10"/>
        <rFont val="WenQuanYi Zen Hei"/>
        <family val="2"/>
      </rPr>
      <t xml:space="preserve">스마트온 </t>
    </r>
    <r>
      <rPr>
        <sz val="10"/>
        <rFont val="맑은 고딕"/>
        <family val="0"/>
        <charset val="1"/>
      </rPr>
      <t xml:space="preserve">2.0 </t>
    </r>
    <r>
      <rPr>
        <sz val="10"/>
        <rFont val="WenQuanYi Zen Hei"/>
        <family val="2"/>
      </rPr>
      <t xml:space="preserve">연계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검사지원처 협업</t>
    </r>
    <r>
      <rPr>
        <sz val="10"/>
        <rFont val="맑은 고딕"/>
        <family val="0"/>
        <charset val="1"/>
      </rPr>
      <t xml:space="preserve">)</t>
    </r>
  </si>
  <si>
    <t xml:space="preserve">모바일 서비스 구축</t>
  </si>
  <si>
    <t xml:space="preserve">기존 서비스 기반 모바일 환경 확장</t>
  </si>
  <si>
    <t xml:space="preserve">2-2</t>
  </si>
  <si>
    <r>
      <rPr>
        <sz val="10"/>
        <rFont val="WenQuanYi Zen Hei"/>
        <family val="2"/>
      </rPr>
      <t xml:space="preserve">계정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인증 연계</t>
    </r>
  </si>
  <si>
    <r>
      <rPr>
        <sz val="10"/>
        <rFont val="WenQuanYi Zen Hei"/>
        <family val="2"/>
      </rPr>
      <t xml:space="preserve">스마트온 </t>
    </r>
    <r>
      <rPr>
        <sz val="10"/>
        <rFont val="맑은 고딕"/>
        <family val="0"/>
        <charset val="1"/>
      </rPr>
      <t xml:space="preserve">2.0 </t>
    </r>
    <r>
      <rPr>
        <sz val="10"/>
        <rFont val="WenQuanYi Zen Hei"/>
        <family val="2"/>
      </rPr>
      <t xml:space="preserve">계정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인증 연계</t>
    </r>
  </si>
  <si>
    <r>
      <rPr>
        <sz val="10"/>
        <rFont val="맑은 고딕"/>
        <family val="0"/>
        <charset val="1"/>
      </rPr>
      <t xml:space="preserve">sso </t>
    </r>
    <r>
      <rPr>
        <sz val="10"/>
        <rFont val="WenQuanYi Zen Hei"/>
        <family val="2"/>
      </rPr>
      <t xml:space="preserve">인증서버소프트웨어</t>
    </r>
  </si>
  <si>
    <r>
      <rPr>
        <sz val="10"/>
        <rFont val="WenQuanYi Zen Hei"/>
        <family val="2"/>
      </rPr>
      <t xml:space="preserve">기존 어드바이저 통합인증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로그인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적용</t>
    </r>
  </si>
  <si>
    <t xml:space="preserve">2-3</t>
  </si>
  <si>
    <r>
      <rPr>
        <sz val="10"/>
        <rFont val="WenQuanYi Zen Hei"/>
        <family val="2"/>
      </rPr>
      <t xml:space="preserve">모바일 </t>
    </r>
    <r>
      <rPr>
        <sz val="10"/>
        <rFont val="맑은 고딕"/>
        <family val="0"/>
        <charset val="1"/>
      </rPr>
      <t xml:space="preserve">UI/UX </t>
    </r>
    <r>
      <rPr>
        <sz val="10"/>
        <rFont val="WenQuanYi Zen Hei"/>
        <family val="2"/>
      </rPr>
      <t xml:space="preserve">개발</t>
    </r>
  </si>
  <si>
    <r>
      <rPr>
        <sz val="10"/>
        <rFont val="WenQuanYi Zen Hei"/>
        <family val="2"/>
      </rPr>
      <t xml:space="preserve">하이브리드 </t>
    </r>
    <r>
      <rPr>
        <sz val="10"/>
        <rFont val="맑은 고딕"/>
        <family val="0"/>
        <charset val="1"/>
      </rPr>
      <t xml:space="preserve">UI/UX </t>
    </r>
    <r>
      <rPr>
        <sz val="10"/>
        <rFont val="WenQuanYi Zen Hei"/>
        <family val="2"/>
      </rPr>
      <t xml:space="preserve">고도화</t>
    </r>
  </si>
  <si>
    <t xml:space="preserve">2-4</t>
  </si>
  <si>
    <t xml:space="preserve">모바일 검색 및 답변 근거 확인</t>
  </si>
  <si>
    <t xml:space="preserve">질의응답 및 조회 기능 모바일 최적화</t>
  </si>
  <si>
    <t xml:space="preserve">2-5</t>
  </si>
  <si>
    <r>
      <rPr>
        <b val="true"/>
        <sz val="10"/>
        <rFont val="WenQuanYi Zen Hei"/>
        <family val="2"/>
      </rPr>
      <t xml:space="preserve">음성입력</t>
    </r>
    <r>
      <rPr>
        <b val="true"/>
        <sz val="10"/>
        <rFont val="맑은 고딕"/>
        <family val="0"/>
        <charset val="1"/>
      </rPr>
      <t xml:space="preserve">(STT)</t>
    </r>
  </si>
  <si>
    <r>
      <rPr>
        <sz val="10"/>
        <rFont val="WenQuanYi Zen Hei"/>
        <family val="2"/>
      </rPr>
      <t xml:space="preserve">음성입력</t>
    </r>
    <r>
      <rPr>
        <sz val="10"/>
        <rFont val="맑은 고딕"/>
        <family val="0"/>
        <charset val="1"/>
      </rPr>
      <t xml:space="preserve">(STT) </t>
    </r>
    <r>
      <rPr>
        <sz val="10"/>
        <rFont val="WenQuanYi Zen Hei"/>
        <family val="2"/>
      </rPr>
      <t xml:space="preserve">기능</t>
    </r>
  </si>
  <si>
    <t xml:space="preserve">2-6</t>
  </si>
  <si>
    <t xml:space="preserve">현장 활용성 기능 개선</t>
  </si>
  <si>
    <r>
      <rPr>
        <sz val="10"/>
        <rFont val="WenQuanYi Zen Hei"/>
        <family val="2"/>
      </rPr>
      <t xml:space="preserve">현장 활용성을 고려한 기능 개선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향후 현장자료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첨부파일 활용 확대</t>
    </r>
  </si>
  <si>
    <r>
      <rPr>
        <b val="true"/>
        <sz val="10"/>
        <rFont val="WenQuanYi Zen Hei"/>
        <family val="2"/>
      </rPr>
      <t xml:space="preserve">과제</t>
    </r>
    <r>
      <rPr>
        <b val="true"/>
        <sz val="10"/>
        <rFont val="맑은 고딕"/>
        <family val="0"/>
        <charset val="1"/>
      </rPr>
      <t xml:space="preserve">3</t>
    </r>
  </si>
  <si>
    <r>
      <rPr>
        <b val="true"/>
        <sz val="10"/>
        <rFont val="WenQuanYi Zen Hei"/>
        <family val="2"/>
      </rPr>
      <t xml:space="preserve">사이버지사 </t>
    </r>
    <r>
      <rPr>
        <b val="true"/>
        <sz val="10"/>
        <rFont val="맑은 고딕"/>
        <family val="0"/>
        <charset val="1"/>
      </rPr>
      <t xml:space="preserve">VOC </t>
    </r>
    <r>
      <rPr>
        <b val="true"/>
        <sz val="10"/>
        <rFont val="WenQuanYi Zen Hei"/>
        <family val="2"/>
      </rPr>
      <t xml:space="preserve">질의 챗봇 구축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대국민 서비스</t>
    </r>
    <r>
      <rPr>
        <b val="true"/>
        <sz val="10"/>
        <rFont val="맑은 고딕"/>
        <family val="0"/>
        <charset val="1"/>
      </rPr>
      <t xml:space="preserve">)</t>
    </r>
  </si>
  <si>
    <t xml:space="preserve">3-1</t>
  </si>
  <si>
    <r>
      <rPr>
        <b val="true"/>
        <sz val="10"/>
        <rFont val="WenQuanYi Zen Hei"/>
        <family val="2"/>
      </rPr>
      <t xml:space="preserve">사이버지사 </t>
    </r>
    <r>
      <rPr>
        <b val="true"/>
        <sz val="10"/>
        <rFont val="맑은 고딕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상담챗봇 구축</t>
    </r>
  </si>
  <si>
    <r>
      <rPr>
        <sz val="10"/>
        <rFont val="WenQuanYi Zen Hei"/>
        <family val="2"/>
      </rPr>
      <t xml:space="preserve">사이버지사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상담챗봇 구축</t>
    </r>
    <r>
      <rPr>
        <sz val="10"/>
        <rFont val="맑은 고딕"/>
        <family val="0"/>
        <charset val="1"/>
      </rPr>
      <t xml:space="preserve">, 24</t>
    </r>
    <r>
      <rPr>
        <sz val="10"/>
        <rFont val="WenQuanYi Zen Hei"/>
        <family val="2"/>
      </rPr>
      <t xml:space="preserve">시간 일반 상담</t>
    </r>
  </si>
  <si>
    <t xml:space="preserve">3-2</t>
  </si>
  <si>
    <r>
      <rPr>
        <b val="true"/>
        <sz val="10"/>
        <rFont val="WenQuanYi Zen Hei"/>
        <family val="2"/>
      </rPr>
      <t xml:space="preserve">공개자료 기반 별도 지식</t>
    </r>
    <r>
      <rPr>
        <b val="true"/>
        <sz val="10"/>
        <rFont val="맑은 고딕"/>
        <family val="0"/>
        <charset val="1"/>
      </rPr>
      <t xml:space="preserve">DB </t>
    </r>
    <r>
      <rPr>
        <b val="true"/>
        <sz val="10"/>
        <rFont val="WenQuanYi Zen Hei"/>
        <family val="2"/>
      </rPr>
      <t xml:space="preserve">구축</t>
    </r>
  </si>
  <si>
    <r>
      <rPr>
        <sz val="10"/>
        <rFont val="WenQuanYi Zen Hei"/>
        <family val="2"/>
      </rPr>
      <t xml:space="preserve">공개자료 기반 별도 지식</t>
    </r>
    <r>
      <rPr>
        <sz val="10"/>
        <rFont val="맑은 고딕"/>
        <family val="0"/>
        <charset val="1"/>
      </rPr>
      <t xml:space="preserve">DB, </t>
    </r>
    <r>
      <rPr>
        <sz val="10"/>
        <rFont val="WenQuanYi Zen Hei"/>
        <family val="2"/>
      </rPr>
      <t xml:space="preserve">내부자료와 대외자료 분리</t>
    </r>
  </si>
  <si>
    <t xml:space="preserve">3-3</t>
  </si>
  <si>
    <r>
      <rPr>
        <b val="true"/>
        <sz val="10"/>
        <rFont val="맑은 고딕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상담체계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단계별 응대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구현</t>
    </r>
  </si>
  <si>
    <r>
      <rPr>
        <sz val="10"/>
        <rFont val="WenQuanYi Zen Hei"/>
        <family val="2"/>
      </rPr>
      <t xml:space="preserve">단순→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자동응답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전문→근거포함 답변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복합→담당부서 이관</t>
    </r>
  </si>
  <si>
    <t xml:space="preserve">3-4</t>
  </si>
  <si>
    <r>
      <rPr>
        <sz val="10"/>
        <rFont val="WenQuanYi Zen Hei"/>
        <family val="2"/>
      </rPr>
      <t xml:space="preserve">담당부서 이관체계 및 </t>
    </r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연계</t>
    </r>
  </si>
  <si>
    <r>
      <rPr>
        <sz val="10"/>
        <rFont val="WenQuanYi Zen Hei"/>
        <family val="2"/>
      </rPr>
      <t xml:space="preserve">복잡한 질의 담당부서 이관</t>
    </r>
    <r>
      <rPr>
        <sz val="10"/>
        <rFont val="맑은 고딕"/>
        <family val="0"/>
        <charset val="1"/>
      </rPr>
      <t xml:space="preserve">, VOC </t>
    </r>
    <r>
      <rPr>
        <sz val="10"/>
        <rFont val="WenQuanYi Zen Hei"/>
        <family val="2"/>
      </rPr>
      <t xml:space="preserve">연계</t>
    </r>
  </si>
  <si>
    <r>
      <rPr>
        <sz val="10"/>
        <rFont val="WenQuanYi Zen Hei"/>
        <family val="2"/>
      </rPr>
      <t xml:space="preserve">업무지원 및 </t>
    </r>
    <r>
      <rPr>
        <sz val="10"/>
        <rFont val="맑은 고딕"/>
        <family val="0"/>
        <charset val="1"/>
      </rPr>
      <t xml:space="preserve">Agent </t>
    </r>
    <r>
      <rPr>
        <sz val="10"/>
        <rFont val="WenQuanYi Zen Hei"/>
        <family val="2"/>
      </rPr>
      <t xml:space="preserve">기능</t>
    </r>
  </si>
  <si>
    <r>
      <rPr>
        <sz val="10"/>
        <rFont val="WenQuanYi Zen Hei"/>
        <family val="2"/>
      </rPr>
      <t xml:space="preserve">기존 </t>
    </r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분류 기능 고도화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내부 </t>
    </r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)</t>
    </r>
  </si>
  <si>
    <t xml:space="preserve">3-5</t>
  </si>
  <si>
    <r>
      <rPr>
        <b val="true"/>
        <sz val="10"/>
        <rFont val="WenQuanYi Zen Hei"/>
        <family val="2"/>
      </rPr>
      <t xml:space="preserve">대국민 서비스 보안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가드레일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</si>
  <si>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핵심원칙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공개자료만 활용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내부자료 원천배제</t>
    </r>
  </si>
  <si>
    <t xml:space="preserve">3-6</t>
  </si>
  <si>
    <t xml:space="preserve">상담 운영 모니터링</t>
  </si>
  <si>
    <r>
      <rPr>
        <sz val="10"/>
        <rFont val="맑은 고딕"/>
        <family val="0"/>
        <charset val="1"/>
      </rPr>
      <t xml:space="preserve">(KPI) </t>
    </r>
    <r>
      <rPr>
        <sz val="10"/>
        <rFont val="WenQuanYi Zen Hei"/>
        <family val="2"/>
      </rPr>
      <t xml:space="preserve">챗봇 이용건수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자동응답률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이관률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국민 만족도</t>
    </r>
  </si>
  <si>
    <r>
      <rPr>
        <b val="true"/>
        <sz val="10"/>
        <rFont val="WenQuanYi Zen Hei"/>
        <family val="2"/>
      </rPr>
      <t xml:space="preserve">과제</t>
    </r>
    <r>
      <rPr>
        <b val="true"/>
        <sz val="10"/>
        <rFont val="맑은 고딕"/>
        <family val="0"/>
        <charset val="1"/>
      </rPr>
      <t xml:space="preserve">4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</si>
  <si>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정확도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를 넘어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신뢰성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확보 </t>
    </r>
    <r>
      <rPr>
        <b val="true"/>
        <sz val="10"/>
        <rFont val="맑은 고딕"/>
        <family val="0"/>
        <charset val="1"/>
      </rPr>
      <t xml:space="preserve">(AI </t>
    </r>
    <r>
      <rPr>
        <b val="true"/>
        <sz val="10"/>
        <rFont val="WenQuanYi Zen Hei"/>
        <family val="2"/>
      </rPr>
      <t xml:space="preserve">신뢰성 고도화</t>
    </r>
    <r>
      <rPr>
        <b val="true"/>
        <sz val="10"/>
        <rFont val="맑은 고딕"/>
        <family val="0"/>
        <charset val="1"/>
      </rPr>
      <t xml:space="preserve">)</t>
    </r>
  </si>
  <si>
    <t xml:space="preserve">4-1</t>
  </si>
  <si>
    <r>
      <rPr>
        <sz val="10"/>
        <rFont val="맑은 고딕"/>
        <family val="0"/>
        <charset val="1"/>
      </rPr>
      <t xml:space="preserve">RAG </t>
    </r>
    <r>
      <rPr>
        <sz val="10"/>
        <rFont val="WenQuanYi Zen Hei"/>
        <family val="2"/>
      </rPr>
      <t xml:space="preserve">검색체계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검색 알고리즘 고도화</t>
    </r>
  </si>
  <si>
    <r>
      <rPr>
        <sz val="10"/>
        <rFont val="맑은 고딕"/>
        <family val="0"/>
        <charset val="1"/>
      </rPr>
      <t xml:space="preserve">RAG </t>
    </r>
    <r>
      <rPr>
        <sz val="10"/>
        <rFont val="WenQuanYi Zen Hei"/>
        <family val="2"/>
      </rPr>
      <t xml:space="preserve">검색체계 개선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검색 알고리즘 고도화</t>
    </r>
  </si>
  <si>
    <r>
      <rPr>
        <sz val="10"/>
        <rFont val="WenQuanYi Zen Hei"/>
        <family val="2"/>
      </rPr>
      <t xml:space="preserve">검색 정확도 향상</t>
    </r>
    <r>
      <rPr>
        <sz val="10"/>
        <rFont val="맑은 고딕"/>
        <family val="0"/>
        <charset val="1"/>
      </rPr>
      <t xml:space="preserve">(Reranking)</t>
    </r>
  </si>
  <si>
    <t xml:space="preserve">4-2</t>
  </si>
  <si>
    <r>
      <rPr>
        <sz val="10"/>
        <rFont val="WenQuanYi Zen Hei"/>
        <family val="2"/>
      </rPr>
      <t xml:space="preserve">문서 전처리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청킹 개선</t>
    </r>
  </si>
  <si>
    <r>
      <rPr>
        <sz val="10"/>
        <rFont val="WenQuanYi Zen Hei"/>
        <family val="2"/>
      </rPr>
      <t xml:space="preserve">검색 정확도 향상</t>
    </r>
    <r>
      <rPr>
        <sz val="10"/>
        <rFont val="맑은 고딕"/>
        <family val="0"/>
        <charset val="1"/>
      </rPr>
      <t xml:space="preserve">(Chunking)</t>
    </r>
  </si>
  <si>
    <t xml:space="preserve">4-3</t>
  </si>
  <si>
    <t xml:space="preserve">답변 근거자료 제시</t>
  </si>
  <si>
    <t xml:space="preserve">답변 품질 향상</t>
  </si>
  <si>
    <t xml:space="preserve">출처 기반 답변 및 근거 제시 고도화</t>
  </si>
  <si>
    <t xml:space="preserve">4-4</t>
  </si>
  <si>
    <t xml:space="preserve">할루시네이션 및 치명적 오답 관리</t>
  </si>
  <si>
    <r>
      <rPr>
        <sz val="10"/>
        <rFont val="맑은 고딕"/>
        <family val="0"/>
        <charset val="1"/>
      </rPr>
      <t xml:space="preserve">Prompt </t>
    </r>
    <r>
      <rPr>
        <sz val="10"/>
        <rFont val="WenQuanYi Zen Hei"/>
        <family val="2"/>
      </rPr>
      <t xml:space="preserve">최적화 및 응답 정확도 개선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답변 일관성 확보</t>
    </r>
  </si>
  <si>
    <t xml:space="preserve">4-5</t>
  </si>
  <si>
    <t xml:space="preserve">가스안전 전문 평가셋 구축</t>
  </si>
  <si>
    <t xml:space="preserve">4-6</t>
  </si>
  <si>
    <t xml:space="preserve">정기 성능평가 체계 구축</t>
  </si>
  <si>
    <r>
      <rPr>
        <sz val="10"/>
        <rFont val="WenQuanYi Zen Hei"/>
        <family val="2"/>
      </rPr>
      <t xml:space="preserve">정기 성능평가 체계 구축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정확성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근거성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최신성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안전성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완전성</t>
    </r>
    <r>
      <rPr>
        <sz val="10"/>
        <rFont val="맑은 고딕"/>
        <family val="0"/>
        <charset val="1"/>
      </rPr>
      <t xml:space="preserve">)</t>
    </r>
  </si>
  <si>
    <t xml:space="preserve">4-7</t>
  </si>
  <si>
    <t xml:space="preserve">사용자 피드백 및 오류관리</t>
  </si>
  <si>
    <t xml:space="preserve">품질 개선</t>
  </si>
  <si>
    <t xml:space="preserve">공통</t>
  </si>
  <si>
    <t xml:space="preserve">사업관리 및 품질보증</t>
  </si>
  <si>
    <t xml:space="preserve">0-1</t>
  </si>
  <si>
    <r>
      <rPr>
        <sz val="10"/>
        <rFont val="WenQuanYi Zen Hei"/>
        <family val="2"/>
      </rPr>
      <t xml:space="preserve">사업관리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품질보증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</si>
  <si>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정보화사업 공통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착수</t>
    </r>
    <r>
      <rPr>
        <sz val="10"/>
        <rFont val="맑은 고딕"/>
        <family val="0"/>
        <charset val="1"/>
      </rPr>
      <t xml:space="preserve">~</t>
    </r>
    <r>
      <rPr>
        <sz val="10"/>
        <rFont val="WenQuanYi Zen Hei"/>
        <family val="2"/>
      </rPr>
      <t xml:space="preserve">종료 관리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보안성 검토 대응</t>
    </r>
  </si>
  <si>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</si>
  <si>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업무지원 </t>
    </r>
    <r>
      <rPr>
        <b val="true"/>
        <sz val="10"/>
        <rFont val="맑은 고딕"/>
        <family val="0"/>
        <charset val="1"/>
      </rPr>
      <t xml:space="preserve">Agent·</t>
    </r>
    <r>
      <rPr>
        <b val="true"/>
        <sz val="10"/>
        <rFont val="WenQuanYi Zen Hei"/>
        <family val="2"/>
      </rPr>
      <t xml:space="preserve">전자결재 연계
</t>
    </r>
    <r>
      <rPr>
        <b val="true"/>
        <sz val="10"/>
        <rFont val="맑은 고딕"/>
        <family val="0"/>
        <charset val="1"/>
      </rPr>
      <t xml:space="preserve">(27</t>
    </r>
    <r>
      <rPr>
        <b val="true"/>
        <sz val="10"/>
        <rFont val="WenQuanYi Zen Hei"/>
        <family val="2"/>
      </rPr>
      <t xml:space="preserve">예산 반영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기획안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단계 </t>
    </r>
    <r>
      <rPr>
        <b val="true"/>
        <sz val="10"/>
        <rFont val="맑은 고딕"/>
        <family val="0"/>
        <charset val="1"/>
      </rPr>
      <t xml:space="preserve">'28</t>
    </r>
    <r>
      <rPr>
        <b val="true"/>
        <sz val="10"/>
        <rFont val="WenQuanYi Zen Hei"/>
        <family val="2"/>
      </rPr>
      <t xml:space="preserve">년</t>
    </r>
    <r>
      <rPr>
        <b val="true"/>
        <sz val="10"/>
        <rFont val="맑은 고딕"/>
        <family val="0"/>
        <charset val="1"/>
      </rPr>
      <t xml:space="preserve">)</t>
    </r>
  </si>
  <si>
    <t xml:space="preserve">5-1</t>
  </si>
  <si>
    <r>
      <rPr>
        <sz val="10"/>
        <rFont val="WenQuanYi Zen Hei"/>
        <family val="2"/>
      </rPr>
      <t xml:space="preserve">기존 </t>
    </r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분류 기능 고도화</t>
    </r>
  </si>
  <si>
    <r>
      <rPr>
        <sz val="10"/>
        <rFont val="WenQuanYi Zen Hei"/>
        <family val="2"/>
      </rPr>
      <t xml:space="preserve">기획안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(AI </t>
    </r>
    <r>
      <rPr>
        <sz val="10"/>
        <rFont val="WenQuanYi Zen Hei"/>
        <family val="2"/>
      </rPr>
      <t xml:space="preserve">에이전트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일부는 과제</t>
    </r>
    <r>
      <rPr>
        <sz val="10"/>
        <rFont val="맑은 고딕"/>
        <family val="0"/>
        <charset val="1"/>
      </rPr>
      <t xml:space="preserve">3-4 VOC </t>
    </r>
    <r>
      <rPr>
        <sz val="10"/>
        <rFont val="WenQuanYi Zen Hei"/>
        <family val="2"/>
      </rPr>
      <t xml:space="preserve">연계에 활용</t>
    </r>
  </si>
  <si>
    <r>
      <rPr>
        <sz val="10"/>
        <rFont val="WenQuanYi Zen Hei"/>
        <family val="2"/>
      </rPr>
      <t xml:space="preserve">기존 </t>
    </r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분류 기능 고도화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보고서 초안 생성 기능 확장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규정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코드 기반 분석 지원 기능 강화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자동화 및 </t>
    </r>
    <r>
      <rPr>
        <sz val="10"/>
        <rFont val="맑은 고딕"/>
        <family val="0"/>
        <charset val="1"/>
      </rPr>
      <t xml:space="preserve">RPA </t>
    </r>
    <r>
      <rPr>
        <sz val="10"/>
        <rFont val="WenQuanYi Zen Hei"/>
        <family val="2"/>
      </rPr>
      <t xml:space="preserve">기능 제외</t>
    </r>
    <r>
      <rPr>
        <sz val="10"/>
        <rFont val="맑은 고딕"/>
        <family val="0"/>
        <charset val="1"/>
      </rPr>
      <t xml:space="preserve">)</t>
    </r>
  </si>
  <si>
    <t xml:space="preserve">5-2</t>
  </si>
  <si>
    <t xml:space="preserve">보고서 초안 생성 기능 확장</t>
  </si>
  <si>
    <r>
      <rPr>
        <sz val="10"/>
        <rFont val="WenQuanYi Zen Hei"/>
        <family val="2"/>
      </rPr>
      <t xml:space="preserve">기획안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(AI </t>
    </r>
    <r>
      <rPr>
        <sz val="10"/>
        <rFont val="WenQuanYi Zen Hei"/>
        <family val="2"/>
      </rPr>
      <t xml:space="preserve">에이전트</t>
    </r>
    <r>
      <rPr>
        <sz val="10"/>
        <rFont val="맑은 고딕"/>
        <family val="0"/>
        <charset val="1"/>
      </rPr>
      <t xml:space="preserve">, '28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</si>
  <si>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5-3</t>
  </si>
  <si>
    <r>
      <rPr>
        <sz val="10"/>
        <rFont val="WenQuanYi Zen Hei"/>
        <family val="2"/>
      </rPr>
      <t xml:space="preserve">규정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코드 기반 분석 지원 기능 강화</t>
    </r>
  </si>
  <si>
    <t xml:space="preserve">5-4</t>
  </si>
  <si>
    <t xml:space="preserve">전자결재 시스템 연계 인터페이스 구현</t>
  </si>
  <si>
    <r>
      <rPr>
        <sz val="10"/>
        <rFont val="WenQuanYi Zen Hei"/>
        <family val="2"/>
      </rPr>
      <t xml:space="preserve">기획안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전자결재 연동</t>
    </r>
    <r>
      <rPr>
        <sz val="10"/>
        <rFont val="맑은 고딕"/>
        <family val="0"/>
        <charset val="1"/>
      </rPr>
      <t xml:space="preserve">, '28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</si>
  <si>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전자결재 연계 </t>
    </r>
    <r>
      <rPr>
        <sz val="10"/>
        <rFont val="맑은 고딕"/>
        <family val="0"/>
        <charset val="1"/>
      </rPr>
      <t xml:space="preserve">(API </t>
    </r>
    <r>
      <rPr>
        <sz val="10"/>
        <rFont val="WenQuanYi Zen Hei"/>
        <family val="2"/>
      </rPr>
      <t xml:space="preserve">기반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</si>
  <si>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전자결재 시스템 연계 인터페이스 구현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결재 문서 초안 생성 기능 제공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시스템 커스터마이징 제외</t>
    </r>
    <r>
      <rPr>
        <sz val="10"/>
        <rFont val="맑은 고딕"/>
        <family val="0"/>
        <charset val="1"/>
      </rPr>
      <t xml:space="preserve">)</t>
    </r>
  </si>
  <si>
    <t xml:space="preserve">5-5</t>
  </si>
  <si>
    <t xml:space="preserve">결재 문서 초안 생성 기능</t>
  </si>
  <si>
    <t xml:space="preserve">매칭 요약</t>
  </si>
  <si>
    <t xml:space="preserve">구분</t>
  </si>
  <si>
    <t xml:space="preserve">과업 수</t>
  </si>
  <si>
    <r>
      <rPr>
        <sz val="10"/>
        <rFont val="WenQuanYi Zen Hei"/>
        <family val="2"/>
      </rPr>
      <t xml:space="preserve">◐ 부분일치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범위확대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</si>
  <si>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▲ 27</t>
    </r>
    <r>
      <rPr>
        <sz val="10"/>
        <rFont val="WenQuanYi Zen Hei"/>
        <family val="2"/>
      </rPr>
      <t xml:space="preserve">예산에만 있음</t>
    </r>
  </si>
  <si>
    <r>
      <rPr>
        <b val="true"/>
        <sz val="14"/>
        <rFont val="WenQuanYi Zen Hei"/>
        <family val="2"/>
      </rPr>
      <t xml:space="preserve">③ 고도화 기획안에 맞는 </t>
    </r>
    <r>
      <rPr>
        <b val="true"/>
        <sz val="14"/>
        <rFont val="맑은 고딕"/>
        <family val="0"/>
        <charset val="1"/>
      </rPr>
      <t xml:space="preserve">SW </t>
    </r>
    <r>
      <rPr>
        <b val="true"/>
        <sz val="14"/>
        <rFont val="WenQuanYi Zen Hei"/>
        <family val="2"/>
      </rPr>
      <t xml:space="preserve">표시</t>
    </r>
  </si>
  <si>
    <r>
      <rPr>
        <sz val="9"/>
        <color rgb="FF595959"/>
        <rFont val="맑은 고딕"/>
        <family val="0"/>
        <charset val="1"/>
      </rPr>
      <t xml:space="preserve">27</t>
    </r>
    <r>
      <rPr>
        <sz val="9"/>
        <color rgb="FF595959"/>
        <rFont val="WenQuanYi Zen Hei"/>
        <family val="2"/>
      </rPr>
      <t xml:space="preserve">예산 </t>
    </r>
    <r>
      <rPr>
        <sz val="9"/>
        <color rgb="FF595959"/>
        <rFont val="맑은 고딕"/>
        <family val="0"/>
        <charset val="1"/>
      </rPr>
      <t xml:space="preserve">SW 8</t>
    </r>
    <r>
      <rPr>
        <sz val="9"/>
        <color rgb="FF595959"/>
        <rFont val="WenQuanYi Zen Hei"/>
        <family val="2"/>
      </rPr>
      <t xml:space="preserve">개 항목의 기획안 부합 여부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기획안 수행에 추가로 필요한 </t>
    </r>
    <r>
      <rPr>
        <sz val="9"/>
        <color rgb="FF595959"/>
        <rFont val="맑은 고딕"/>
        <family val="0"/>
        <charset val="1"/>
      </rPr>
      <t xml:space="preserve">SW(</t>
    </r>
    <r>
      <rPr>
        <sz val="9"/>
        <color rgb="FF595959"/>
        <rFont val="WenQuanYi Zen Hei"/>
        <family val="2"/>
      </rPr>
      <t xml:space="preserve">상용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오픈소스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</si>
  <si>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A. 27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SW </t>
    </r>
    <r>
      <rPr>
        <b val="true"/>
        <sz val="10"/>
        <rFont val="WenQuanYi Zen Hei"/>
        <family val="2"/>
      </rPr>
      <t xml:space="preserve">예산 항목별 고도화 기획안 부합 여부</t>
    </r>
  </si>
  <si>
    <t xml:space="preserve">No</t>
  </si>
  <si>
    <r>
      <rPr>
        <b val="true"/>
        <sz val="10"/>
        <color rgb="FFFFFFFF"/>
        <rFont val="맑은 고딕"/>
        <family val="0"/>
        <charset val="1"/>
      </rPr>
      <t xml:space="preserve">27</t>
    </r>
    <r>
      <rPr>
        <b val="true"/>
        <sz val="10"/>
        <color rgb="FFFFFFFF"/>
        <rFont val="WenQuanYi Zen Hei"/>
        <family val="2"/>
      </rPr>
      <t xml:space="preserve">예산 </t>
    </r>
    <r>
      <rPr>
        <b val="true"/>
        <sz val="10"/>
        <color rgb="FFFFFFFF"/>
        <rFont val="맑은 고딕"/>
        <family val="0"/>
        <charset val="1"/>
      </rPr>
      <t xml:space="preserve">SW </t>
    </r>
    <r>
      <rPr>
        <b val="true"/>
        <sz val="10"/>
        <color rgb="FFFFFFFF"/>
        <rFont val="WenQuanYi Zen Hei"/>
        <family val="2"/>
      </rPr>
      <t xml:space="preserve">항목</t>
    </r>
  </si>
  <si>
    <r>
      <rPr>
        <b val="true"/>
        <sz val="10"/>
        <color rgb="FFFFFFFF"/>
        <rFont val="맑은 고딕"/>
        <family val="0"/>
        <charset val="1"/>
      </rPr>
      <t xml:space="preserve">27</t>
    </r>
    <r>
      <rPr>
        <b val="true"/>
        <sz val="10"/>
        <color rgb="FFFFFFFF"/>
        <rFont val="WenQuanYi Zen Hei"/>
        <family val="2"/>
      </rPr>
      <t xml:space="preserve">예산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백만원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</si>
  <si>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기획안 부합</t>
  </si>
  <si>
    <r>
      <rPr>
        <b val="true"/>
        <sz val="10"/>
        <color rgb="FFFFFFFF"/>
        <rFont val="WenQuanYi Zen Hei"/>
        <family val="2"/>
      </rPr>
      <t xml:space="preserve">대응 기획안 과제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과업</t>
    </r>
  </si>
  <si>
    <r>
      <rPr>
        <b val="true"/>
        <sz val="10"/>
        <color rgb="FFFFFFFF"/>
        <rFont val="WenQuanYi Zen Hei"/>
        <family val="2"/>
      </rPr>
      <t xml:space="preserve">판단 근거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조치</t>
    </r>
  </si>
  <si>
    <t xml:space="preserve">● 부합</t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</si>
  <si>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2 (2-1,2-3,2-4)</t>
    </r>
  </si>
  <si>
    <r>
      <rPr>
        <sz val="10"/>
        <rFont val="WenQuanYi Zen Hei"/>
        <family val="2"/>
      </rPr>
      <t xml:space="preserve">모바일 </t>
    </r>
    <r>
      <rPr>
        <sz val="10"/>
        <rFont val="맑은 고딕"/>
        <family val="0"/>
        <charset val="1"/>
      </rPr>
      <t xml:space="preserve">UI/UX·</t>
    </r>
    <r>
      <rPr>
        <sz val="10"/>
        <rFont val="WenQuanYi Zen Hei"/>
        <family val="2"/>
      </rPr>
      <t xml:space="preserve">조회 최적화는 일치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기획안은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스마트온 </t>
    </r>
    <r>
      <rPr>
        <sz val="10"/>
        <rFont val="맑은 고딕"/>
        <family val="0"/>
        <charset val="1"/>
      </rPr>
      <t xml:space="preserve">2.0 </t>
    </r>
    <r>
      <rPr>
        <sz val="10"/>
        <rFont val="WenQuanYi Zen Hei"/>
        <family val="2"/>
      </rPr>
      <t xml:space="preserve">연계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구체화 → 연계 범위 명시 필요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</si>
  <si>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1 (1-2,1-3,1-5), </t>
    </r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4 (4-1,4-2)</t>
    </r>
  </si>
  <si>
    <r>
      <rPr>
        <sz val="10"/>
        <rFont val="WenQuanYi Zen Hei"/>
        <family val="2"/>
      </rPr>
      <t xml:space="preserve">수집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전처리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메타데이터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청킹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리랭킹 모두 기획안 과제</t>
    </r>
    <r>
      <rPr>
        <sz val="10"/>
        <rFont val="맑은 고딕"/>
        <family val="0"/>
        <charset val="1"/>
      </rPr>
      <t xml:space="preserve">1·4</t>
    </r>
    <r>
      <rPr>
        <sz val="10"/>
        <rFont val="WenQuanYi Zen Hei"/>
        <family val="2"/>
      </rPr>
      <t xml:space="preserve">와 일치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</si>
  <si>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4 (4-3,4-4,4-7)</t>
    </r>
  </si>
  <si>
    <r>
      <rPr>
        <sz val="10"/>
        <rFont val="WenQuanYi Zen Hei"/>
        <family val="2"/>
      </rPr>
      <t xml:space="preserve">근거제시</t>
    </r>
    <r>
      <rPr>
        <sz val="10"/>
        <rFont val="맑은 고딕"/>
        <family val="0"/>
        <charset val="1"/>
      </rPr>
      <t xml:space="preserve">·Prompt </t>
    </r>
    <r>
      <rPr>
        <sz val="10"/>
        <rFont val="WenQuanYi Zen Hei"/>
        <family val="2"/>
      </rPr>
      <t xml:space="preserve">최적화 일치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기획안의 평가셋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정기 성능평가는 미포함 → 신규 반영</t>
    </r>
  </si>
  <si>
    <r>
      <rPr>
        <b val="true"/>
        <sz val="10"/>
        <rFont val="WenQuanYi Zen Hei"/>
        <family val="2"/>
      </rPr>
      <t xml:space="preserve">▲ 미부합</t>
    </r>
    <r>
      <rPr>
        <b val="true"/>
        <sz val="10"/>
        <rFont val="맑은 고딕"/>
        <family val="0"/>
        <charset val="1"/>
      </rPr>
      <t xml:space="preserve">(3</t>
    </r>
    <r>
      <rPr>
        <b val="true"/>
        <sz val="10"/>
        <rFont val="WenQuanYi Zen Hei"/>
        <family val="2"/>
      </rPr>
      <t xml:space="preserve">단계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</si>
  <si>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3-4 </t>
    </r>
    <r>
      <rPr>
        <sz val="10"/>
        <rFont val="WenQuanYi Zen Hei"/>
        <family val="2"/>
      </rPr>
      <t xml:space="preserve">일부</t>
    </r>
    <r>
      <rPr>
        <sz val="10"/>
        <rFont val="맑은 고딕"/>
        <family val="0"/>
        <charset val="1"/>
      </rPr>
      <t xml:space="preserve">(VOC </t>
    </r>
    <r>
      <rPr>
        <sz val="10"/>
        <rFont val="WenQuanYi Zen Hei"/>
        <family val="2"/>
      </rPr>
      <t xml:space="preserve">분류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</si>
  <si>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기획안 로드맵상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에이전트는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('28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). VOC </t>
    </r>
    <r>
      <rPr>
        <sz val="10"/>
        <rFont val="WenQuanYi Zen Hei"/>
        <family val="2"/>
      </rPr>
      <t xml:space="preserve">분류 고도화만 대국민 </t>
    </r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이관에 활용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나머지는 </t>
    </r>
    <r>
      <rPr>
        <sz val="10"/>
        <rFont val="맑은 고딕"/>
        <family val="0"/>
        <charset val="1"/>
      </rPr>
      <t xml:space="preserve">'28</t>
    </r>
    <r>
      <rPr>
        <sz val="10"/>
        <rFont val="WenQuanYi Zen Hei"/>
        <family val="2"/>
      </rPr>
      <t xml:space="preserve">년 이연 권장</t>
    </r>
  </si>
  <si>
    <r>
      <rPr>
        <sz val="10"/>
        <rFont val="WenQuanYi Zen Hei"/>
        <family val="2"/>
      </rPr>
      <t xml:space="preserve">기획안 로드맵상 전자결재 연동은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('28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→ 27</t>
    </r>
    <r>
      <rPr>
        <sz val="10"/>
        <rFont val="WenQuanYi Zen Hei"/>
        <family val="2"/>
      </rPr>
      <t xml:space="preserve">년 예산은 기획안 신규 과업으로 재배분 권장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</si>
  <si>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1 (1-4,1-5,1-7)</t>
    </r>
  </si>
  <si>
    <r>
      <rPr>
        <sz val="10"/>
        <rFont val="WenQuanYi Zen Hei"/>
        <family val="2"/>
      </rPr>
      <t xml:space="preserve">최신화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버전관리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관리자 기능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민감정보 필터링 일치</t>
    </r>
  </si>
  <si>
    <r>
      <rPr>
        <sz val="10"/>
        <rFont val="맑은 고딕"/>
        <family val="0"/>
        <charset val="1"/>
      </rPr>
      <t xml:space="preserve">DRM </t>
    </r>
    <r>
      <rPr>
        <sz val="10"/>
        <rFont val="WenQuanYi Zen Hei"/>
        <family val="2"/>
      </rPr>
      <t xml:space="preserve">보안소프트웨어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</si>
  <si>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1-2, </t>
    </r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3-2</t>
    </r>
  </si>
  <si>
    <r>
      <rPr>
        <sz val="10"/>
        <rFont val="WenQuanYi Zen Hei"/>
        <family val="2"/>
      </rPr>
      <t xml:space="preserve">내부 </t>
    </r>
    <r>
      <rPr>
        <sz val="10"/>
        <rFont val="맑은 고딕"/>
        <family val="0"/>
        <charset val="1"/>
      </rPr>
      <t xml:space="preserve">DRM </t>
    </r>
    <r>
      <rPr>
        <sz val="10"/>
        <rFont val="WenQuanYi Zen Hei"/>
        <family val="2"/>
      </rPr>
      <t xml:space="preserve">문서 수집 시 복호화 필수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대국민 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분리 시 반출통제</t>
    </r>
  </si>
  <si>
    <t xml:space="preserve">◐ 부분 부합</t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</si>
  <si>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2-2</t>
    </r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</si>
  <si>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예산은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기존 어드바이저 로그인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범위 → 스마트온 </t>
    </r>
    <r>
      <rPr>
        <sz val="10"/>
        <rFont val="맑은 고딕"/>
        <family val="0"/>
        <charset val="1"/>
      </rPr>
      <t xml:space="preserve">2.0 </t>
    </r>
    <r>
      <rPr>
        <sz val="10"/>
        <rFont val="WenQuanYi Zen Hei"/>
        <family val="2"/>
      </rPr>
      <t xml:space="preserve">계정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인증 연계까지 확대 필요</t>
    </r>
  </si>
  <si>
    <t xml:space="preserve">합계</t>
  </si>
  <si>
    <t xml:space="preserve">부합 합계</t>
  </si>
  <si>
    <r>
      <rPr>
        <sz val="10"/>
        <rFont val="WenQuanYi Zen Hei"/>
        <family val="2"/>
      </rPr>
      <t xml:space="preserve">← 기획안 부합</t>
    </r>
    <r>
      <rPr>
        <sz val="10"/>
        <rFont val="맑은 고딕"/>
        <family val="0"/>
        <charset val="1"/>
      </rPr>
      <t xml:space="preserve">(●+◐) </t>
    </r>
    <r>
      <rPr>
        <sz val="10"/>
        <rFont val="WenQuanYi Zen Hei"/>
        <family val="2"/>
      </rPr>
      <t xml:space="preserve">금액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나머지는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 이연 대상</t>
    </r>
  </si>
  <si>
    <r>
      <rPr>
        <b val="true"/>
        <sz val="10"/>
        <rFont val="맑은 고딕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고도화 기획안 수행에 필요한 </t>
    </r>
    <r>
      <rPr>
        <b val="true"/>
        <sz val="10"/>
        <rFont val="맑은 고딕"/>
        <family val="0"/>
        <charset val="1"/>
      </rPr>
      <t xml:space="preserve">SW(</t>
    </r>
    <r>
      <rPr>
        <b val="true"/>
        <sz val="10"/>
        <rFont val="WenQuanYi Zen Hei"/>
        <family val="2"/>
      </rPr>
      <t xml:space="preserve">솔루션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구성</t>
    </r>
  </si>
  <si>
    <r>
      <rPr>
        <b val="true"/>
        <sz val="10"/>
        <color rgb="FFFFFFFF"/>
        <rFont val="맑은 고딕"/>
        <family val="0"/>
        <charset val="1"/>
      </rPr>
      <t xml:space="preserve">SW(</t>
    </r>
    <r>
      <rPr>
        <b val="true"/>
        <sz val="10"/>
        <color rgb="FFFFFFFF"/>
        <rFont val="WenQuanYi Zen Hei"/>
        <family val="2"/>
      </rPr>
      <t xml:space="preserve">솔루션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</si>
  <si>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도입 방식</t>
  </si>
  <si>
    <t xml:space="preserve">기획안 필요성</t>
  </si>
  <si>
    <t xml:space="preserve">관련 과업</t>
  </si>
  <si>
    <r>
      <rPr>
        <b val="true"/>
        <sz val="10"/>
        <color rgb="FFFFFFFF"/>
        <rFont val="맑은 고딕"/>
        <family val="0"/>
        <charset val="1"/>
      </rPr>
      <t xml:space="preserve">27</t>
    </r>
    <r>
      <rPr>
        <b val="true"/>
        <sz val="10"/>
        <color rgb="FFFFFFFF"/>
        <rFont val="WenQuanYi Zen Hei"/>
        <family val="2"/>
      </rPr>
      <t xml:space="preserve">예산 반영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</si>
  <si>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상용 구매</t>
  </si>
  <si>
    <t xml:space="preserve">● 필수</t>
  </si>
  <si>
    <t xml:space="preserve">1-2, 3-2</t>
  </si>
  <si>
    <r>
      <rPr>
        <sz val="10"/>
        <rFont val="WenQuanYi Zen Hei"/>
        <family val="2"/>
      </rPr>
      <t xml:space="preserve">반영</t>
    </r>
    <r>
      <rPr>
        <sz val="10"/>
        <rFont val="맑은 고딕"/>
        <family val="0"/>
        <charset val="1"/>
      </rPr>
      <t xml:space="preserve">(16</t>
    </r>
    <r>
      <rPr>
        <sz val="10"/>
        <rFont val="WenQuanYi Zen Hei"/>
        <family val="2"/>
      </rPr>
      <t xml:space="preserve">백만원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내부 </t>
    </r>
    <r>
      <rPr>
        <sz val="10"/>
        <rFont val="맑은 고딕"/>
        <family val="0"/>
        <charset val="1"/>
      </rPr>
      <t xml:space="preserve">DRM </t>
    </r>
    <r>
      <rPr>
        <sz val="10"/>
        <rFont val="WenQuanYi Zen Hei"/>
        <family val="2"/>
      </rPr>
      <t xml:space="preserve">문서 수집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복호화</t>
    </r>
  </si>
  <si>
    <r>
      <rPr>
        <sz val="10"/>
        <rFont val="맑은 고딕"/>
        <family val="0"/>
        <charset val="1"/>
      </rPr>
      <t xml:space="preserve">SSO </t>
    </r>
    <r>
      <rPr>
        <sz val="10"/>
        <rFont val="WenQuanYi Zen Hei"/>
        <family val="2"/>
      </rPr>
      <t xml:space="preserve">인증서버소프트웨어</t>
    </r>
  </si>
  <si>
    <r>
      <rPr>
        <sz val="10"/>
        <rFont val="WenQuanYi Zen Hei"/>
        <family val="2"/>
      </rPr>
      <t xml:space="preserve">반영</t>
    </r>
    <r>
      <rPr>
        <sz val="10"/>
        <rFont val="맑은 고딕"/>
        <family val="0"/>
        <charset val="1"/>
      </rPr>
      <t xml:space="preserve">(22</t>
    </r>
    <r>
      <rPr>
        <sz val="10"/>
        <rFont val="WenQuanYi Zen Hei"/>
        <family val="2"/>
      </rPr>
      <t xml:space="preserve">백만원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스마트온 </t>
    </r>
    <r>
      <rPr>
        <sz val="10"/>
        <rFont val="맑은 고딕"/>
        <family val="0"/>
        <charset val="1"/>
      </rPr>
      <t xml:space="preserve">2.0 </t>
    </r>
    <r>
      <rPr>
        <sz val="10"/>
        <rFont val="WenQuanYi Zen Hei"/>
        <family val="2"/>
      </rPr>
      <t xml:space="preserve">계정연계 지원 여부 확인</t>
    </r>
  </si>
  <si>
    <r>
      <rPr>
        <sz val="10"/>
        <rFont val="맑은 고딕"/>
        <family val="0"/>
        <charset val="1"/>
      </rPr>
      <t xml:space="preserve">STT(</t>
    </r>
    <r>
      <rPr>
        <sz val="10"/>
        <rFont val="WenQuanYi Zen Hei"/>
        <family val="2"/>
      </rPr>
      <t xml:space="preserve">음성인식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엔진</t>
    </r>
  </si>
  <si>
    <r>
      <rPr>
        <sz val="10"/>
        <rFont val="WenQuanYi Zen Hei"/>
        <family val="2"/>
      </rPr>
      <t xml:space="preserve">상용 구매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설치형</t>
    </r>
    <r>
      <rPr>
        <sz val="10"/>
        <rFont val="맑은 고딕"/>
        <family val="0"/>
        <charset val="1"/>
      </rPr>
      <t xml:space="preserve">)</t>
    </r>
  </si>
  <si>
    <t xml:space="preserve">★ 신규 필요</t>
  </si>
  <si>
    <r>
      <rPr>
        <sz val="10"/>
        <rFont val="WenQuanYi Zen Hei"/>
        <family val="2"/>
      </rPr>
      <t xml:space="preserve">미반영 → 견적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백만원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가정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신규 반영</t>
    </r>
  </si>
  <si>
    <r>
      <rPr>
        <sz val="10"/>
        <rFont val="WenQuanYi Zen Hei"/>
        <family val="2"/>
      </rPr>
      <t xml:space="preserve">대국민 웹 챗봇</t>
    </r>
    <r>
      <rPr>
        <sz val="10"/>
        <rFont val="맑은 고딕"/>
        <family val="0"/>
        <charset val="1"/>
      </rPr>
      <t xml:space="preserve">(UI </t>
    </r>
    <r>
      <rPr>
        <sz val="10"/>
        <rFont val="WenQuanYi Zen Hei"/>
        <family val="2"/>
      </rPr>
      <t xml:space="preserve">위젯</t>
    </r>
    <r>
      <rPr>
        <sz val="10"/>
        <rFont val="맑은 고딕"/>
        <family val="0"/>
        <charset val="1"/>
      </rPr>
      <t xml:space="preserve">)</t>
    </r>
  </si>
  <si>
    <t xml:space="preserve">개발</t>
  </si>
  <si>
    <t xml:space="preserve">3-1, 3-3</t>
  </si>
  <si>
    <r>
      <rPr>
        <sz val="10"/>
        <rFont val="WenQuanYi Zen Hei"/>
        <family val="2"/>
      </rPr>
      <t xml:space="preserve">미반영 → 인건비로 개발 반영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별도 챗봇 솔루션 구매 불요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</si>
  <si>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개인정보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민감정보 탐지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마스킹</t>
    </r>
  </si>
  <si>
    <r>
      <rPr>
        <sz val="10"/>
        <rFont val="WenQuanYi Zen Hei"/>
        <family val="2"/>
      </rPr>
      <t xml:space="preserve">개발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공통모듈</t>
    </r>
    <r>
      <rPr>
        <sz val="10"/>
        <rFont val="맑은 고딕"/>
        <family val="0"/>
        <charset val="1"/>
      </rPr>
      <t xml:space="preserve">)</t>
    </r>
  </si>
  <si>
    <t xml:space="preserve">● 필요</t>
  </si>
  <si>
    <t xml:space="preserve">1-7, 3-5</t>
  </si>
  <si>
    <r>
      <rPr>
        <sz val="10"/>
        <rFont val="맑은 고딕"/>
        <family val="0"/>
        <charset val="1"/>
      </rPr>
      <t xml:space="preserve">27 </t>
    </r>
    <r>
      <rPr>
        <sz val="10"/>
        <rFont val="WenQuanYi Zen Hei"/>
        <family val="2"/>
      </rPr>
      <t xml:space="preserve">데이터관리 항목에 기능개발로 반영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상용 도입 시 별도 산정</t>
    </r>
  </si>
  <si>
    <r>
      <rPr>
        <sz val="10"/>
        <rFont val="WenQuanYi Zen Hei"/>
        <family val="2"/>
      </rPr>
      <t xml:space="preserve">문서 파싱</t>
    </r>
    <r>
      <rPr>
        <sz val="10"/>
        <rFont val="맑은 고딕"/>
        <family val="0"/>
        <charset val="1"/>
      </rPr>
      <t xml:space="preserve">(HWP/PDF/</t>
    </r>
    <r>
      <rPr>
        <sz val="10"/>
        <rFont val="WenQuanYi Zen Hei"/>
        <family val="2"/>
      </rPr>
      <t xml:space="preserve">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엔진</t>
    </r>
  </si>
  <si>
    <r>
      <rPr>
        <sz val="10"/>
        <rFont val="WenQuanYi Zen Hei"/>
        <family val="2"/>
      </rPr>
      <t xml:space="preserve">오픈소스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기존 활용</t>
    </r>
  </si>
  <si>
    <t xml:space="preserve">◐ 권장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</si>
  <si>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구축 파서 고도화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스캔문서 비중 높을 경우 </t>
    </r>
    <r>
      <rPr>
        <sz val="10"/>
        <rFont val="맑은 고딕"/>
        <family val="0"/>
        <charset val="1"/>
      </rPr>
      <t xml:space="preserve">OCR </t>
    </r>
    <r>
      <rPr>
        <sz val="10"/>
        <rFont val="WenQuanYi Zen Hei"/>
        <family val="2"/>
      </rPr>
      <t xml:space="preserve">상용 검토</t>
    </r>
  </si>
  <si>
    <r>
      <rPr>
        <sz val="10"/>
        <rFont val="맑은 고딕"/>
        <family val="0"/>
        <charset val="1"/>
      </rPr>
      <t xml:space="preserve">Reranker·</t>
    </r>
    <r>
      <rPr>
        <sz val="10"/>
        <rFont val="WenQuanYi Zen Hei"/>
        <family val="2"/>
      </rPr>
      <t xml:space="preserve">하이브리드 검색</t>
    </r>
  </si>
  <si>
    <t xml:space="preserve">오픈소스</t>
  </si>
  <si>
    <r>
      <rPr>
        <sz val="10"/>
        <rFont val="WenQuanYi Zen Hei"/>
        <family val="2"/>
      </rPr>
      <t xml:space="preserve">라이선스 비용 없음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차 구축 벡터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활용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</si>
  <si>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RAG </t>
    </r>
    <r>
      <rPr>
        <sz val="10"/>
        <rFont val="WenQuanYi Zen Hei"/>
        <family val="2"/>
      </rPr>
      <t xml:space="preserve">평가 도구</t>
    </r>
  </si>
  <si>
    <t xml:space="preserve">4-5, 4-6</t>
  </si>
  <si>
    <r>
      <rPr>
        <sz val="10"/>
        <rFont val="WenQuanYi Zen Hei"/>
        <family val="2"/>
      </rPr>
      <t xml:space="preserve">라이선스 비용 없음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평가 파이프라인 개발비에 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</si>
  <si>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외부망</t>
    </r>
    <r>
      <rPr>
        <sz val="10"/>
        <rFont val="맑은 고딕"/>
        <family val="0"/>
        <charset val="1"/>
      </rPr>
      <t xml:space="preserve">(DMZ) </t>
    </r>
    <r>
      <rPr>
        <sz val="10"/>
        <rFont val="WenQuanYi Zen Hei"/>
        <family val="2"/>
      </rPr>
      <t xml:space="preserve">서비스 인프라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웹방화벽</t>
    </r>
  </si>
  <si>
    <r>
      <rPr>
        <sz val="10"/>
        <rFont val="맑은 고딕"/>
        <family val="0"/>
        <charset val="1"/>
      </rPr>
      <t xml:space="preserve">H/W·</t>
    </r>
    <r>
      <rPr>
        <sz val="10"/>
        <rFont val="WenQuanYi Zen Hei"/>
        <family val="2"/>
      </rPr>
      <t xml:space="preserve">보안 장비</t>
    </r>
  </si>
  <si>
    <t xml:space="preserve">★ 신규 검토</t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</si>
  <si>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3</t>
    </r>
  </si>
  <si>
    <r>
      <rPr>
        <sz val="10"/>
        <rFont val="맑은 고딕"/>
        <family val="0"/>
        <charset val="1"/>
      </rPr>
      <t xml:space="preserve">27 H/W(476)</t>
    </r>
    <r>
      <rPr>
        <sz val="10"/>
        <rFont val="WenQuanYi Zen Hei"/>
        <family val="2"/>
      </rPr>
      <t xml:space="preserve">는 내부망 기준 → 대국민 서비스용 망분리 인프라 별도 검토 필요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 </t>
    </r>
    <r>
      <rPr>
        <sz val="10"/>
        <rFont val="맑은 고딕"/>
        <family val="0"/>
        <charset val="1"/>
      </rPr>
      <t xml:space="preserve">SW </t>
    </r>
    <r>
      <rPr>
        <sz val="10"/>
        <rFont val="WenQuanYi Zen Hei"/>
        <family val="2"/>
      </rPr>
      <t xml:space="preserve">견적 제외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</si>
  <si>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Agent </t>
    </r>
    <r>
      <rPr>
        <sz val="10"/>
        <rFont val="WenQuanYi Zen Hei"/>
        <family val="2"/>
      </rPr>
      <t xml:space="preserve">프레임워크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전자결재 연계 모듈</t>
    </r>
  </si>
  <si>
    <r>
      <rPr>
        <b val="true"/>
        <sz val="10"/>
        <rFont val="WenQuanYi Zen Hei"/>
        <family val="2"/>
      </rPr>
      <t xml:space="preserve">▲ 기획안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단계</t>
    </r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</si>
  <si>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예산 반영</t>
    </r>
    <r>
      <rPr>
        <sz val="10"/>
        <rFont val="맑은 고딕"/>
        <family val="0"/>
        <charset val="1"/>
      </rPr>
      <t xml:space="preserve">(260)</t>
    </r>
    <r>
      <rPr>
        <sz val="10"/>
        <rFont val="WenQuanYi Zen Hei"/>
        <family val="2"/>
      </rPr>
      <t xml:space="preserve">이나 기획안상 </t>
    </r>
    <r>
      <rPr>
        <sz val="10"/>
        <rFont val="맑은 고딕"/>
        <family val="0"/>
        <charset val="1"/>
      </rPr>
      <t xml:space="preserve">'28</t>
    </r>
    <r>
      <rPr>
        <sz val="10"/>
        <rFont val="WenQuanYi Zen Hei"/>
        <family val="2"/>
      </rPr>
      <t xml:space="preserve">년 → </t>
    </r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년 범위 제외</t>
    </r>
  </si>
  <si>
    <t xml:space="preserve">④ 과업 및 세부기능별 예산 견적서</t>
  </si>
  <si>
    <r>
      <rPr>
        <sz val="9"/>
        <color rgb="FF595959"/>
        <rFont val="WenQuanYi Zen Hei"/>
        <family val="2"/>
      </rPr>
      <t xml:space="preserve">단위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백만원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인건비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투입</t>
    </r>
    <r>
      <rPr>
        <sz val="9"/>
        <color rgb="FF595959"/>
        <rFont val="맑은 고딕"/>
        <family val="0"/>
        <charset val="1"/>
      </rPr>
      <t xml:space="preserve">M/M × M/M</t>
    </r>
    <r>
      <rPr>
        <sz val="9"/>
        <color rgb="FF595959"/>
        <rFont val="WenQuanYi Zen Hei"/>
        <family val="2"/>
      </rPr>
      <t xml:space="preserve">단가</t>
    </r>
    <r>
      <rPr>
        <sz val="9"/>
        <color rgb="FF595959"/>
        <rFont val="맑은 고딕"/>
        <family val="0"/>
        <charset val="1"/>
      </rPr>
      <t xml:space="preserve">(0.</t>
    </r>
    <r>
      <rPr>
        <sz val="9"/>
        <color rgb="FF595959"/>
        <rFont val="WenQuanYi Zen Hei"/>
        <family val="2"/>
      </rPr>
      <t xml:space="preserve">개요 시트</t>
    </r>
    <r>
      <rPr>
        <sz val="9"/>
        <color rgb="FF595959"/>
        <rFont val="맑은 고딕"/>
        <family val="0"/>
        <charset val="1"/>
      </rPr>
      <t xml:space="preserve">) / SW</t>
    </r>
    <r>
      <rPr>
        <sz val="9"/>
        <color rgb="FF595959"/>
        <rFont val="WenQuanYi Zen Hei"/>
        <family val="2"/>
      </rPr>
      <t xml:space="preserve">구매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직접경비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수량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단가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파란색 입력값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</si>
  <si>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세부기능</t>
  </si>
  <si>
    <t xml:space="preserve">비목</t>
  </si>
  <si>
    <t xml:space="preserve">수량</t>
  </si>
  <si>
    <t xml:space="preserve">단위</t>
  </si>
  <si>
    <t xml:space="preserve">단가</t>
  </si>
  <si>
    <r>
      <rPr>
        <b val="true"/>
        <sz val="10"/>
        <color rgb="FFFFFFFF"/>
        <rFont val="맑은 고딕"/>
        <family val="0"/>
        <charset val="1"/>
      </rPr>
      <t xml:space="preserve">27</t>
    </r>
    <r>
      <rPr>
        <b val="true"/>
        <sz val="10"/>
        <color rgb="FFFFFFFF"/>
        <rFont val="WenQuanYi Zen Hei"/>
        <family val="2"/>
      </rPr>
      <t xml:space="preserve">예산 대응항목</t>
    </r>
  </si>
  <si>
    <r>
      <rPr>
        <b val="true"/>
        <sz val="10"/>
        <color rgb="FFFFFFFF"/>
        <rFont val="WenQuanYi Zen Hei"/>
        <family val="2"/>
      </rPr>
      <t xml:space="preserve">산출근거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</si>
  <si>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M/M</t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</si>
  <si>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</si>
  <si>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부서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개인 보유 자료 현황조사 및 자료목록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인벤토리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작성</t>
    </r>
  </si>
  <si>
    <t xml:space="preserve">인건비</t>
  </si>
  <si>
    <r>
      <rPr>
        <sz val="10"/>
        <rFont val="WenQuanYi Zen Hei"/>
        <family val="2"/>
      </rPr>
      <t xml:space="preserve">신규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기획안에만 있음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</si>
  <si>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 부서 대상 설문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인터뷰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자료 유형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보안등급 분류</t>
    </r>
  </si>
  <si>
    <r>
      <rPr>
        <sz val="10"/>
        <rFont val="WenQuanYi Zen Hei"/>
        <family val="2"/>
      </rPr>
      <t xml:space="preserve">지식자산 분류체계 및 데이터 정비 절차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수집</t>
    </r>
    <r>
      <rPr>
        <sz val="10"/>
        <rFont val="맑은 고딕"/>
        <family val="0"/>
        <charset val="1"/>
      </rPr>
      <t xml:space="preserve">~</t>
    </r>
    <r>
      <rPr>
        <sz val="10"/>
        <rFont val="WenQuanYi Zen Hei"/>
        <family val="2"/>
      </rPr>
      <t xml:space="preserve">최신화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수립</t>
    </r>
  </si>
  <si>
    <r>
      <rPr>
        <sz val="10"/>
        <rFont val="WenQuanYi Zen Hei"/>
        <family val="2"/>
      </rPr>
      <t xml:space="preserve">데이터 컨설팅 산출물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분류체계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정비 가이드</t>
    </r>
  </si>
  <si>
    <r>
      <rPr>
        <sz val="10"/>
        <rFont val="WenQuanYi Zen Hei"/>
        <family val="2"/>
      </rPr>
      <t xml:space="preserve">문서 수집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변환 파이프라인 고도화</t>
    </r>
    <r>
      <rPr>
        <sz val="10"/>
        <rFont val="맑은 고딕"/>
        <family val="0"/>
        <charset val="1"/>
      </rPr>
      <t xml:space="preserve">(HWP/PDF/</t>
    </r>
    <r>
      <rPr>
        <sz val="10"/>
        <rFont val="WenQuanYi Zen Hei"/>
        <family val="2"/>
      </rPr>
      <t xml:space="preserve">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이미지 파싱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</si>
  <si>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DRM </t>
    </r>
    <r>
      <rPr>
        <sz val="10"/>
        <rFont val="WenQuanYi Zen Hei"/>
        <family val="2"/>
      </rPr>
      <t xml:space="preserve">문서 복호화 연동 포함</t>
    </r>
  </si>
  <si>
    <r>
      <rPr>
        <sz val="10"/>
        <rFont val="WenQuanYi Zen Hei"/>
        <family val="2"/>
      </rPr>
      <t xml:space="preserve">데이터 정제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전처리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중복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오류 제거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구조화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</si>
  <si>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DRM </t>
    </r>
    <r>
      <rPr>
        <sz val="10"/>
        <rFont val="WenQuanYi Zen Hei"/>
        <family val="2"/>
      </rPr>
      <t xml:space="preserve">보안소프트웨어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파일 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암호화</t>
    </r>
    <r>
      <rPr>
        <sz val="10"/>
        <rFont val="맑은 고딕"/>
        <family val="0"/>
        <charset val="1"/>
      </rPr>
      <t xml:space="preserve">) 1</t>
    </r>
    <r>
      <rPr>
        <sz val="10"/>
        <rFont val="WenQuanYi Zen Hei"/>
        <family val="2"/>
      </rPr>
      <t xml:space="preserve">식</t>
    </r>
  </si>
  <si>
    <r>
      <rPr>
        <sz val="10"/>
        <rFont val="맑은 고딕"/>
        <family val="0"/>
        <charset val="1"/>
      </rPr>
      <t xml:space="preserve">SW</t>
    </r>
    <r>
      <rPr>
        <sz val="10"/>
        <rFont val="WenQuanYi Zen Hei"/>
        <family val="2"/>
      </rPr>
      <t xml:space="preserve">구매</t>
    </r>
  </si>
  <si>
    <t xml:space="preserve">식</t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</si>
  <si>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예산 </t>
    </r>
    <r>
      <rPr>
        <sz val="10"/>
        <rFont val="맑은 고딕"/>
        <family val="0"/>
        <charset val="1"/>
      </rPr>
      <t xml:space="preserve">16</t>
    </r>
    <r>
      <rPr>
        <sz val="10"/>
        <rFont val="WenQuanYi Zen Hei"/>
        <family val="2"/>
      </rPr>
      <t xml:space="preserve">백만원</t>
    </r>
    <r>
      <rPr>
        <sz val="10"/>
        <rFont val="맑은 고딕"/>
        <family val="0"/>
        <charset val="1"/>
      </rPr>
      <t xml:space="preserve">(VAT</t>
    </r>
    <r>
      <rPr>
        <sz val="10"/>
        <rFont val="WenQuanYi Zen Hei"/>
        <family val="2"/>
      </rPr>
      <t xml:space="preserve">포함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공급가 </t>
    </r>
    <r>
      <rPr>
        <sz val="10"/>
        <rFont val="맑은 고딕"/>
        <family val="0"/>
        <charset val="1"/>
      </rPr>
      <t xml:space="preserve">14.5 </t>
    </r>
    <r>
      <rPr>
        <sz val="10"/>
        <rFont val="WenQuanYi Zen Hei"/>
        <family val="2"/>
      </rPr>
      <t xml:space="preserve">적용</t>
    </r>
  </si>
  <si>
    <t xml:space="preserve">데이터 표준 및 메타데이터 스키마 설계</t>
  </si>
  <si>
    <r>
      <rPr>
        <sz val="10"/>
        <rFont val="WenQuanYi Zen Hei"/>
        <family val="2"/>
      </rPr>
      <t xml:space="preserve">문서유형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시행일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개정이력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보안등급 등</t>
    </r>
  </si>
  <si>
    <r>
      <rPr>
        <sz val="10"/>
        <rFont val="WenQuanYi Zen Hei"/>
        <family val="2"/>
      </rPr>
      <t xml:space="preserve">메타데이터 태깅 및 벡터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재적재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관리 기능</t>
    </r>
  </si>
  <si>
    <r>
      <rPr>
        <sz val="10"/>
        <rFont val="WenQuanYi Zen Hei"/>
        <family val="2"/>
      </rPr>
      <t xml:space="preserve">법령</t>
    </r>
    <r>
      <rPr>
        <sz val="10"/>
        <rFont val="맑은 고딕"/>
        <family val="0"/>
        <charset val="1"/>
      </rPr>
      <t xml:space="preserve">·KGS Code·</t>
    </r>
    <r>
      <rPr>
        <sz val="10"/>
        <rFont val="WenQuanYi Zen Hei"/>
        <family val="2"/>
      </rPr>
      <t xml:space="preserve">사규 변경분 자동 수집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업로드</t>
    </r>
  </si>
  <si>
    <r>
      <rPr>
        <sz val="10"/>
        <rFont val="맑은 고딕"/>
        <family val="0"/>
        <charset val="1"/>
      </rPr>
      <t xml:space="preserve">27 </t>
    </r>
    <r>
      <rPr>
        <sz val="10"/>
        <rFont val="WenQuanYi Zen Hei"/>
        <family val="2"/>
      </rPr>
      <t xml:space="preserve">사업내용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자동 업로드 시스템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대응</t>
    </r>
  </si>
  <si>
    <r>
      <rPr>
        <sz val="10"/>
        <rFont val="WenQuanYi Zen Hei"/>
        <family val="2"/>
      </rPr>
      <t xml:space="preserve">문서 버전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이력 관리 및 폐지자료 자동 제외</t>
    </r>
  </si>
  <si>
    <r>
      <rPr>
        <sz val="10"/>
        <rFont val="WenQuanYi Zen Hei"/>
        <family val="2"/>
      </rPr>
      <t xml:space="preserve">현행자료 반영률 </t>
    </r>
    <r>
      <rPr>
        <sz val="10"/>
        <rFont val="맑은 고딕"/>
        <family val="0"/>
        <charset val="1"/>
      </rPr>
      <t xml:space="preserve">KPI(≥98%) </t>
    </r>
    <r>
      <rPr>
        <sz val="10"/>
        <rFont val="WenQuanYi Zen Hei"/>
        <family val="2"/>
      </rPr>
      <t xml:space="preserve">대응</t>
    </r>
  </si>
  <si>
    <r>
      <rPr>
        <sz val="10"/>
        <rFont val="WenQuanYi Zen Hei"/>
        <family val="2"/>
      </rPr>
      <t xml:space="preserve">문서 등록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검수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승인 워크플로</t>
    </r>
  </si>
  <si>
    <r>
      <rPr>
        <sz val="10"/>
        <rFont val="WenQuanYi Zen Hei"/>
        <family val="2"/>
      </rPr>
      <t xml:space="preserve">지식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품질 모니터링 화면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적재현황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오류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최신성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</si>
  <si>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사업 제외자료 확대 적재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</si>
  <si>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제외자료 선별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적재</t>
    </r>
  </si>
  <si>
    <r>
      <rPr>
        <sz val="10"/>
        <rFont val="WenQuanYi Zen Hei"/>
        <family val="2"/>
      </rPr>
      <t xml:space="preserve">개인정보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민감정보 탐지 및 마스킹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답변 단계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</si>
  <si>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3 </t>
    </r>
    <r>
      <rPr>
        <sz val="10"/>
        <rFont val="WenQuanYi Zen Hei"/>
        <family val="2"/>
      </rPr>
      <t xml:space="preserve">대국민 입력필터와 공통 모듈화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</si>
  <si>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</si>
  <si>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스마트온 </t>
    </r>
    <r>
      <rPr>
        <sz val="10"/>
        <rFont val="맑은 고딕"/>
        <family val="0"/>
        <charset val="1"/>
      </rPr>
      <t xml:space="preserve">2.0 </t>
    </r>
    <r>
      <rPr>
        <sz val="10"/>
        <rFont val="WenQuanYi Zen Hei"/>
        <family val="2"/>
      </rPr>
      <t xml:space="preserve">연계 인터페이스</t>
    </r>
    <r>
      <rPr>
        <sz val="10"/>
        <rFont val="맑은 고딕"/>
        <family val="0"/>
        <charset val="1"/>
      </rPr>
      <t xml:space="preserve">(API/</t>
    </r>
    <r>
      <rPr>
        <sz val="10"/>
        <rFont val="WenQuanYi Zen Hei"/>
        <family val="2"/>
      </rPr>
      <t xml:space="preserve">웹뷰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개발</t>
    </r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</si>
  <si>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예산은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모바일 환경 확장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만 명시 → 스마트온 연계로 범위 구체화</t>
    </r>
  </si>
  <si>
    <r>
      <rPr>
        <sz val="10"/>
        <rFont val="맑은 고딕"/>
        <family val="0"/>
        <charset val="1"/>
      </rPr>
      <t xml:space="preserve">SSO </t>
    </r>
    <r>
      <rPr>
        <sz val="10"/>
        <rFont val="WenQuanYi Zen Hei"/>
        <family val="2"/>
      </rPr>
      <t xml:space="preserve">연동 및 스마트온 계정 매핑</t>
    </r>
  </si>
  <si>
    <r>
      <rPr>
        <sz val="10"/>
        <rFont val="맑은 고딕"/>
        <family val="0"/>
        <charset val="1"/>
      </rPr>
      <t xml:space="preserve">SSO </t>
    </r>
    <r>
      <rPr>
        <sz val="10"/>
        <rFont val="WenQuanYi Zen Hei"/>
        <family val="2"/>
      </rPr>
      <t xml:space="preserve">인증서버소프트웨어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식</t>
    </r>
  </si>
  <si>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예산 </t>
    </r>
    <r>
      <rPr>
        <sz val="10"/>
        <rFont val="맑은 고딕"/>
        <family val="0"/>
        <charset val="1"/>
      </rPr>
      <t xml:space="preserve">22</t>
    </r>
    <r>
      <rPr>
        <sz val="10"/>
        <rFont val="WenQuanYi Zen Hei"/>
        <family val="2"/>
      </rPr>
      <t xml:space="preserve">백만원</t>
    </r>
    <r>
      <rPr>
        <sz val="10"/>
        <rFont val="맑은 고딕"/>
        <family val="0"/>
        <charset val="1"/>
      </rPr>
      <t xml:space="preserve">(VAT</t>
    </r>
    <r>
      <rPr>
        <sz val="10"/>
        <rFont val="WenQuanYi Zen Hei"/>
        <family val="2"/>
      </rPr>
      <t xml:space="preserve">포함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공급가 </t>
    </r>
    <r>
      <rPr>
        <sz val="10"/>
        <rFont val="맑은 고딕"/>
        <family val="0"/>
        <charset val="1"/>
      </rPr>
      <t xml:space="preserve">20.0 </t>
    </r>
    <r>
      <rPr>
        <sz val="10"/>
        <rFont val="WenQuanYi Zen Hei"/>
        <family val="2"/>
      </rPr>
      <t xml:space="preserve">적용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스마트온 계정연계 지원 여부 확인 필요</t>
    </r>
  </si>
  <si>
    <r>
      <rPr>
        <sz val="10"/>
        <rFont val="WenQuanYi Zen Hei"/>
        <family val="2"/>
      </rPr>
      <t xml:space="preserve">현장 검사원용 모바일 화면 설계</t>
    </r>
    <r>
      <rPr>
        <sz val="10"/>
        <rFont val="맑은 고딕"/>
        <family val="0"/>
        <charset val="1"/>
      </rPr>
      <t xml:space="preserve">(UI/UX)</t>
    </r>
  </si>
  <si>
    <r>
      <rPr>
        <sz val="10"/>
        <rFont val="WenQuanYi Zen Hei"/>
        <family val="2"/>
      </rPr>
      <t xml:space="preserve">하이브리드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반응형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모바일 </t>
    </r>
    <r>
      <rPr>
        <sz val="10"/>
        <rFont val="맑은 고딕"/>
        <family val="0"/>
        <charset val="1"/>
      </rPr>
      <t xml:space="preserve">UI </t>
    </r>
    <r>
      <rPr>
        <sz val="10"/>
        <rFont val="WenQuanYi Zen Hei"/>
        <family val="2"/>
      </rPr>
      <t xml:space="preserve">구현</t>
    </r>
  </si>
  <si>
    <r>
      <rPr>
        <sz val="10"/>
        <rFont val="WenQuanYi Zen Hei"/>
        <family val="2"/>
      </rPr>
      <t xml:space="preserve">질의응답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조회 기능 모바일 최적화</t>
    </r>
  </si>
  <si>
    <r>
      <rPr>
        <sz val="10"/>
        <rFont val="WenQuanYi Zen Hei"/>
        <family val="2"/>
      </rPr>
      <t xml:space="preserve">모바일 근거문서</t>
    </r>
    <r>
      <rPr>
        <sz val="10"/>
        <rFont val="맑은 고딕"/>
        <family val="0"/>
        <charset val="1"/>
      </rPr>
      <t xml:space="preserve">(KGS Code </t>
    </r>
    <r>
      <rPr>
        <sz val="10"/>
        <rFont val="WenQuanYi Zen Hei"/>
        <family val="2"/>
      </rPr>
      <t xml:space="preserve">조항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뷰어</t>
    </r>
  </si>
  <si>
    <r>
      <rPr>
        <sz val="10"/>
        <rFont val="WenQuanYi Zen Hei"/>
        <family val="2"/>
      </rPr>
      <t xml:space="preserve">현장활용 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기준검색→</t>
    </r>
    <r>
      <rPr>
        <sz val="10"/>
        <rFont val="맑은 고딕"/>
        <family val="0"/>
        <charset val="1"/>
      </rPr>
      <t xml:space="preserve">Code</t>
    </r>
    <r>
      <rPr>
        <sz val="10"/>
        <rFont val="WenQuanYi Zen Hei"/>
        <family val="2"/>
      </rPr>
      <t xml:space="preserve">제시→근거제공→문서연결</t>
    </r>
  </si>
  <si>
    <r>
      <rPr>
        <sz val="10"/>
        <rFont val="WenQuanYi Zen Hei"/>
        <family val="2"/>
      </rPr>
      <t xml:space="preserve">음성입력</t>
    </r>
    <r>
      <rPr>
        <sz val="10"/>
        <rFont val="맑은 고딕"/>
        <family val="0"/>
        <charset val="1"/>
      </rPr>
      <t xml:space="preserve">(STT)</t>
    </r>
  </si>
  <si>
    <r>
      <rPr>
        <sz val="10"/>
        <rFont val="맑은 고딕"/>
        <family val="0"/>
        <charset val="1"/>
      </rPr>
      <t xml:space="preserve">STT </t>
    </r>
    <r>
      <rPr>
        <sz val="10"/>
        <rFont val="WenQuanYi Zen Hei"/>
        <family val="2"/>
      </rPr>
      <t xml:space="preserve">엔진 연동 및 음성질의 처리</t>
    </r>
  </si>
  <si>
    <r>
      <rPr>
        <sz val="10"/>
        <rFont val="WenQuanYi Zen Hei"/>
        <family val="2"/>
      </rPr>
      <t xml:space="preserve">가스안전 전문용어 사전 구축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인식률 튜닝</t>
    </r>
  </si>
  <si>
    <r>
      <rPr>
        <sz val="10"/>
        <rFont val="맑은 고딕"/>
        <family val="0"/>
        <charset val="1"/>
      </rPr>
      <t xml:space="preserve">STT </t>
    </r>
    <r>
      <rPr>
        <sz val="10"/>
        <rFont val="WenQuanYi Zen Hei"/>
        <family val="2"/>
      </rPr>
      <t xml:space="preserve">엔진 소프트웨어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온프레미스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</si>
  <si>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가정치 — 업체 견적 확인 필요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폐쇄망 설치형 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</si>
  <si>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현장 사진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첨부파일 첨부 질의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기초기능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</si>
  <si>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기획안상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향후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과제 — </t>
    </r>
    <r>
      <rPr>
        <sz val="10"/>
        <rFont val="맑은 고딕"/>
        <family val="0"/>
        <charset val="1"/>
      </rPr>
      <t xml:space="preserve">27</t>
    </r>
    <r>
      <rPr>
        <sz val="10"/>
        <rFont val="WenQuanYi Zen Hei"/>
        <family val="2"/>
      </rPr>
      <t xml:space="preserve">년 기초기능만 반영</t>
    </r>
  </si>
  <si>
    <r>
      <rPr>
        <sz val="10"/>
        <rFont val="WenQuanYi Zen Hei"/>
        <family val="2"/>
      </rPr>
      <t xml:space="preserve">사이버지사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상담챗봇 구축</t>
    </r>
  </si>
  <si>
    <r>
      <rPr>
        <sz val="10"/>
        <rFont val="WenQuanYi Zen Hei"/>
        <family val="2"/>
      </rPr>
      <t xml:space="preserve">대국민 웹 챗봇 </t>
    </r>
    <r>
      <rPr>
        <sz val="10"/>
        <rFont val="맑은 고딕"/>
        <family val="0"/>
        <charset val="1"/>
      </rPr>
      <t xml:space="preserve">UI(</t>
    </r>
    <r>
      <rPr>
        <sz val="10"/>
        <rFont val="WenQuanYi Zen Hei"/>
        <family val="2"/>
      </rPr>
      <t xml:space="preserve">위젯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개발</t>
    </r>
  </si>
  <si>
    <t xml:space="preserve">웹접근성 인증 기준 준수</t>
  </si>
  <si>
    <t xml:space="preserve">사이버지사 홈페이지 연동</t>
  </si>
  <si>
    <t xml:space="preserve">홍보소통실 협업</t>
  </si>
  <si>
    <r>
      <rPr>
        <sz val="10"/>
        <rFont val="WenQuanYi Zen Hei"/>
        <family val="2"/>
      </rPr>
      <t xml:space="preserve">공개자료 기반 별도 지식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구축</t>
    </r>
  </si>
  <si>
    <r>
      <rPr>
        <sz val="10"/>
        <rFont val="WenQuanYi Zen Hei"/>
        <family val="2"/>
      </rPr>
      <t xml:space="preserve">공개 가능자료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법령</t>
    </r>
    <r>
      <rPr>
        <sz val="10"/>
        <rFont val="맑은 고딕"/>
        <family val="0"/>
        <charset val="1"/>
      </rPr>
      <t xml:space="preserve">·KGS Code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선별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적재</t>
    </r>
  </si>
  <si>
    <r>
      <rPr>
        <sz val="10"/>
        <rFont val="WenQuanYi Zen Hei"/>
        <family val="2"/>
      </rPr>
      <t xml:space="preserve">사규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개인정보 원천 배제</t>
    </r>
  </si>
  <si>
    <r>
      <rPr>
        <sz val="10"/>
        <rFont val="WenQuanYi Zen Hei"/>
        <family val="2"/>
      </rPr>
      <t xml:space="preserve">내부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대외 지식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분리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별도 인덱스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접근통제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</si>
  <si>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상담체계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단계별 응대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구현</t>
    </r>
  </si>
  <si>
    <r>
      <rPr>
        <sz val="10"/>
        <rFont val="WenQuanYi Zen Hei"/>
        <family val="2"/>
      </rPr>
      <t xml:space="preserve">질의 유형 분류 및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 라우팅</t>
    </r>
  </si>
  <si>
    <t xml:space="preserve">근거자료 포함 대국민 답변 생성</t>
  </si>
  <si>
    <t xml:space="preserve">전문상담 담당부서 이관 워크플로</t>
  </si>
  <si>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시스템 연계 및 기존 </t>
    </r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분류모델 재활용</t>
    </r>
  </si>
  <si>
    <r>
      <rPr>
        <sz val="10"/>
        <rFont val="맑은 고딕"/>
        <family val="0"/>
        <charset val="1"/>
      </rPr>
      <t xml:space="preserve">27 Agent </t>
    </r>
    <r>
      <rPr>
        <sz val="10"/>
        <rFont val="WenQuanYi Zen Hei"/>
        <family val="2"/>
      </rPr>
      <t xml:space="preserve">항목 </t>
    </r>
    <r>
      <rPr>
        <sz val="10"/>
        <rFont val="맑은 고딕"/>
        <family val="0"/>
        <charset val="1"/>
      </rPr>
      <t xml:space="preserve">"VOC </t>
    </r>
    <r>
      <rPr>
        <sz val="10"/>
        <rFont val="WenQuanYi Zen Hei"/>
        <family val="2"/>
      </rPr>
      <t xml:space="preserve">분류 고도화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대국민 이관에 활용</t>
    </r>
  </si>
  <si>
    <r>
      <rPr>
        <sz val="10"/>
        <rFont val="WenQuanYi Zen Hei"/>
        <family val="2"/>
      </rPr>
      <t xml:space="preserve">대국민 서비스 보안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가드레일</t>
    </r>
  </si>
  <si>
    <r>
      <rPr>
        <sz val="10"/>
        <rFont val="WenQuanYi Zen Hei"/>
        <family val="2"/>
      </rPr>
      <t xml:space="preserve">입력 필터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개인정보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비속어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프롬프트 인젝션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</si>
  <si>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답변 범위 제한 및 면책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이관 안내</t>
    </r>
  </si>
  <si>
    <r>
      <rPr>
        <sz val="10"/>
        <rFont val="WenQuanYi Zen Hei"/>
        <family val="2"/>
      </rPr>
      <t xml:space="preserve">상담 로그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통계 대시보드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자동응답률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이관률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만족도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</si>
  <si>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과제</t>
    </r>
    <r>
      <rPr>
        <sz val="10"/>
        <rFont val="맑은 고딕"/>
        <family val="0"/>
        <charset val="1"/>
      </rPr>
      <t xml:space="preserve">4</t>
    </r>
  </si>
  <si>
    <r>
      <rPr>
        <sz val="10"/>
        <rFont val="WenQuanYi Zen Hei"/>
        <family val="2"/>
      </rPr>
      <t xml:space="preserve">하이브리드 검색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키워드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벡터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적용</t>
    </r>
  </si>
  <si>
    <r>
      <rPr>
        <sz val="10"/>
        <rFont val="맑은 고딕"/>
        <family val="0"/>
        <charset val="1"/>
      </rPr>
      <t xml:space="preserve">Reranking </t>
    </r>
    <r>
      <rPr>
        <sz val="10"/>
        <rFont val="WenQuanYi Zen Hei"/>
        <family val="2"/>
      </rPr>
      <t xml:space="preserve">모델 적용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튜닝</t>
    </r>
  </si>
  <si>
    <r>
      <rPr>
        <sz val="10"/>
        <rFont val="WenQuanYi Zen Hei"/>
        <family val="2"/>
      </rPr>
      <t xml:space="preserve">문서구조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기반 청킹 개선</t>
    </r>
  </si>
  <si>
    <r>
      <rPr>
        <sz val="10"/>
        <rFont val="WenQuanYi Zen Hei"/>
        <family val="2"/>
      </rPr>
      <t xml:space="preserve">출처 인용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근거 조항 하이라이트</t>
    </r>
  </si>
  <si>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근거자료 제시율 ≥</t>
    </r>
    <r>
      <rPr>
        <sz val="10"/>
        <rFont val="맑은 고딕"/>
        <family val="0"/>
        <charset val="1"/>
      </rPr>
      <t xml:space="preserve">95%</t>
    </r>
  </si>
  <si>
    <r>
      <rPr>
        <sz val="10"/>
        <rFont val="맑은 고딕"/>
        <family val="0"/>
        <charset val="1"/>
      </rPr>
      <t xml:space="preserve">Prompt </t>
    </r>
    <r>
      <rPr>
        <sz val="10"/>
        <rFont val="WenQuanYi Zen Hei"/>
        <family val="2"/>
      </rPr>
      <t xml:space="preserve">최적화 및 답변 일관성 개선</t>
    </r>
  </si>
  <si>
    <r>
      <rPr>
        <sz val="10"/>
        <rFont val="WenQuanYi Zen Hei"/>
        <family val="2"/>
      </rPr>
      <t xml:space="preserve">답변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근거 일치 검증 및 불확실 시 응답유보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가드레일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</si>
  <si>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치명적 오답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</si>
  <si>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대표질의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근거 평가셋 구축</t>
    </r>
  </si>
  <si>
    <r>
      <rPr>
        <sz val="10"/>
        <rFont val="맑은 고딕"/>
        <family val="0"/>
        <charset val="1"/>
      </rPr>
      <t xml:space="preserve">Baseline </t>
    </r>
    <r>
      <rPr>
        <sz val="10"/>
        <rFont val="WenQuanYi Zen Hei"/>
        <family val="2"/>
      </rPr>
      <t xml:space="preserve">측정 포함</t>
    </r>
  </si>
  <si>
    <t xml:space="preserve">가스안전 분야 전문가 검수 자문</t>
  </si>
  <si>
    <t xml:space="preserve">직접경비</t>
  </si>
  <si>
    <r>
      <rPr>
        <sz val="10"/>
        <rFont val="WenQuanYi Zen Hei"/>
        <family val="2"/>
      </rPr>
      <t xml:space="preserve">직접경비 가정치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자문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일 내외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</si>
  <si>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자동 평가 파이프라인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회귀평가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</si>
  <si>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오픈소스 </t>
    </r>
    <r>
      <rPr>
        <sz val="10"/>
        <rFont val="맑은 고딕"/>
        <family val="0"/>
        <charset val="1"/>
      </rPr>
      <t xml:space="preserve">RAG </t>
    </r>
    <r>
      <rPr>
        <sz val="10"/>
        <rFont val="WenQuanYi Zen Hei"/>
        <family val="2"/>
      </rPr>
      <t xml:space="preserve">평가도구 활용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</si>
  <si>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대 평가지표</t>
    </r>
    <r>
      <rPr>
        <sz val="10"/>
        <rFont val="맑은 고딕"/>
        <family val="0"/>
        <charset val="1"/>
      </rPr>
      <t xml:space="preserve">·KPI </t>
    </r>
    <r>
      <rPr>
        <sz val="10"/>
        <rFont val="WenQuanYi Zen Hei"/>
        <family val="2"/>
      </rPr>
      <t xml:space="preserve">대시보드</t>
    </r>
  </si>
  <si>
    <r>
      <rPr>
        <sz val="10"/>
        <rFont val="WenQuanYi Zen Hei"/>
        <family val="2"/>
      </rPr>
      <t xml:space="preserve">피드백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오류신고 수집 및 개선 이력관리</t>
    </r>
  </si>
  <si>
    <r>
      <rPr>
        <sz val="10"/>
        <rFont val="WenQuanYi Zen Hei"/>
        <family val="2"/>
      </rPr>
      <t xml:space="preserve">사업관리</t>
    </r>
    <r>
      <rPr>
        <sz val="10"/>
        <rFont val="맑은 고딕"/>
        <family val="0"/>
        <charset val="1"/>
      </rPr>
      <t xml:space="preserve">(PM)</t>
    </r>
  </si>
  <si>
    <r>
      <rPr>
        <sz val="10"/>
        <rFont val="WenQuanYi Zen Hei"/>
        <family val="2"/>
      </rPr>
      <t xml:space="preserve">공통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사업관리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품질</t>
    </r>
    <r>
      <rPr>
        <sz val="10"/>
        <rFont val="맑은 고딕"/>
        <family val="0"/>
        <charset val="1"/>
      </rPr>
      <t xml:space="preserve">)</t>
    </r>
  </si>
  <si>
    <t xml:space="preserve">부분투입 기준</t>
  </si>
  <si>
    <r>
      <rPr>
        <sz val="10"/>
        <rFont val="WenQuanYi Zen Hei"/>
        <family val="2"/>
      </rPr>
      <t xml:space="preserve">통합테스트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보안점검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이행 및 교육</t>
    </r>
  </si>
  <si>
    <t xml:space="preserve">인건비 소계</t>
  </si>
  <si>
    <r>
      <rPr>
        <b val="true"/>
        <sz val="10"/>
        <rFont val="WenQuanYi Zen Hei"/>
        <family val="2"/>
      </rPr>
      <t xml:space="preserve">총 투입 </t>
    </r>
    <r>
      <rPr>
        <b val="true"/>
        <sz val="10"/>
        <rFont val="맑은 고딕"/>
        <family val="0"/>
        <charset val="1"/>
      </rPr>
      <t xml:space="preserve">M/M</t>
    </r>
  </si>
  <si>
    <r>
      <rPr>
        <b val="true"/>
        <sz val="10"/>
        <rFont val="맑은 고딕"/>
        <family val="0"/>
        <charset val="1"/>
      </rPr>
      <t xml:space="preserve">SW</t>
    </r>
    <r>
      <rPr>
        <b val="true"/>
        <sz val="10"/>
        <rFont val="WenQuanYi Zen Hei"/>
        <family val="2"/>
      </rPr>
      <t xml:space="preserve">구매 소계</t>
    </r>
  </si>
  <si>
    <t xml:space="preserve">직접경비 소계</t>
  </si>
  <si>
    <r>
      <rPr>
        <b val="true"/>
        <sz val="10"/>
        <rFont val="WenQuanYi Zen Hei"/>
        <family val="2"/>
      </rPr>
      <t xml:space="preserve">총 견적액 </t>
    </r>
    <r>
      <rPr>
        <b val="true"/>
        <sz val="10"/>
        <rFont val="맑은 고딕"/>
        <family val="0"/>
        <charset val="1"/>
      </rPr>
      <t xml:space="preserve">(VAT</t>
    </r>
    <r>
      <rPr>
        <b val="true"/>
        <sz val="10"/>
        <rFont val="WenQuanYi Zen Hei"/>
        <family val="2"/>
      </rPr>
      <t xml:space="preserve">포함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</si>
  <si>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정부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국회 심의자료</t>
    </r>
  </si>
  <si>
    <r>
      <rPr>
        <b val="true"/>
        <sz val="10"/>
        <rFont val="WenQuanYi Zen Hei"/>
        <family val="2"/>
      </rPr>
      <t xml:space="preserve">예산 대비 차액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예산 − 견적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</si>
  <si>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(+) </t>
    </r>
    <r>
      <rPr>
        <sz val="10"/>
        <rFont val="WenQuanYi Zen Hei"/>
        <family val="2"/>
      </rPr>
      <t xml:space="preserve">잔액 </t>
    </r>
    <r>
      <rPr>
        <sz val="10"/>
        <rFont val="맑은 고딕"/>
        <family val="0"/>
        <charset val="1"/>
      </rPr>
      <t xml:space="preserve">/ (−) </t>
    </r>
    <r>
      <rPr>
        <sz val="10"/>
        <rFont val="WenQuanYi Zen Hei"/>
        <family val="2"/>
      </rPr>
      <t xml:space="preserve">초과</t>
    </r>
  </si>
  <si>
    <r>
      <rPr>
        <b val="true"/>
        <sz val="14"/>
        <rFont val="맑은 고딕"/>
        <family val="0"/>
        <charset val="1"/>
      </rPr>
      <t xml:space="preserve">27</t>
    </r>
    <r>
      <rPr>
        <b val="true"/>
        <sz val="14"/>
        <rFont val="WenQuanYi Zen Hei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SW </t>
    </r>
    <r>
      <rPr>
        <b val="true"/>
        <sz val="14"/>
        <rFont val="WenQuanYi Zen Hei"/>
        <family val="2"/>
      </rPr>
      <t xml:space="preserve">예산 항목 ↔ 고도화 견적 대비표</t>
    </r>
  </si>
  <si>
    <r>
      <rPr>
        <sz val="9"/>
        <color rgb="FF595959"/>
        <rFont val="WenQuanYi Zen Hei"/>
        <family val="2"/>
      </rPr>
      <t xml:space="preserve">단위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백만원</t>
    </r>
    <r>
      <rPr>
        <sz val="9"/>
        <color rgb="FF595959"/>
        <rFont val="맑은 고딕"/>
        <family val="0"/>
        <charset val="1"/>
      </rPr>
      <t xml:space="preserve">(VAT</t>
    </r>
    <r>
      <rPr>
        <sz val="9"/>
        <color rgb="FF595959"/>
        <rFont val="WenQuanYi Zen Hei"/>
        <family val="2"/>
      </rPr>
      <t xml:space="preserve">포함</t>
    </r>
    <r>
      <rPr>
        <sz val="9"/>
        <color rgb="FF595959"/>
        <rFont val="맑은 고딕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견적액은 </t>
    </r>
    <r>
      <rPr>
        <sz val="9"/>
        <color rgb="FF595959"/>
        <rFont val="맑은 고딕"/>
        <family val="0"/>
        <charset val="1"/>
      </rPr>
      <t xml:space="preserve">3.</t>
    </r>
    <r>
      <rPr>
        <sz val="9"/>
        <color rgb="FF595959"/>
        <rFont val="WenQuanYi Zen Hei"/>
        <family val="2"/>
      </rPr>
      <t xml:space="preserve">견적서의 </t>
    </r>
    <r>
      <rPr>
        <sz val="9"/>
        <color rgb="FF595959"/>
        <rFont val="맑은 고딕"/>
        <family val="0"/>
        <charset val="1"/>
      </rPr>
      <t xml:space="preserve">"27</t>
    </r>
    <r>
      <rPr>
        <sz val="9"/>
        <color rgb="FF595959"/>
        <rFont val="WenQuanYi Zen Hei"/>
        <family val="2"/>
      </rPr>
      <t xml:space="preserve">예산 대응항목</t>
    </r>
    <r>
      <rPr>
        <sz val="9"/>
        <color rgb="FF595959"/>
        <rFont val="맑은 고딕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별 합계 </t>
    </r>
    <r>
      <rPr>
        <sz val="9"/>
        <color rgb="FF595959"/>
        <rFont val="맑은 고딕"/>
        <family val="0"/>
        <charset val="1"/>
      </rPr>
      <t xml:space="preserve">× (1+VAT)</t>
    </r>
  </si>
  <si>
    <r>
      <rPr>
        <b val="true"/>
        <sz val="10"/>
        <color rgb="FFFFFFFF"/>
        <rFont val="맑은 고딕"/>
        <family val="0"/>
        <charset val="1"/>
      </rPr>
      <t xml:space="preserve">27</t>
    </r>
    <r>
      <rPr>
        <b val="true"/>
        <sz val="10"/>
        <color rgb="FFFFFFFF"/>
        <rFont val="WenQuanYi Zen Hei"/>
        <family val="2"/>
      </rPr>
      <t xml:space="preserve">예산</t>
    </r>
  </si>
  <si>
    <t xml:space="preserve">고도화 견적</t>
  </si>
  <si>
    <r>
      <rPr>
        <b val="true"/>
        <sz val="10"/>
        <color rgb="FFFFFFFF"/>
        <rFont val="WenQuanYi Zen Hei"/>
        <family val="2"/>
      </rPr>
      <t xml:space="preserve">증감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견적−예산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</si>
  <si>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조치</t>
  </si>
  <si>
    <r>
      <rPr>
        <sz val="10"/>
        <rFont val="WenQuanYi Zen Hei"/>
        <family val="2"/>
      </rPr>
      <t xml:space="preserve">스마트온 </t>
    </r>
    <r>
      <rPr>
        <sz val="10"/>
        <rFont val="맑은 고딕"/>
        <family val="0"/>
        <charset val="1"/>
      </rPr>
      <t xml:space="preserve">2.0 </t>
    </r>
    <r>
      <rPr>
        <sz val="10"/>
        <rFont val="WenQuanYi Zen Hei"/>
        <family val="2"/>
      </rPr>
      <t xml:space="preserve">연계로 구체화</t>
    </r>
    <r>
      <rPr>
        <sz val="10"/>
        <rFont val="맑은 고딕"/>
        <family val="0"/>
        <charset val="1"/>
      </rPr>
      <t xml:space="preserve">(STT</t>
    </r>
    <r>
      <rPr>
        <sz val="10"/>
        <rFont val="WenQuanYi Zen Hei"/>
        <family val="2"/>
      </rPr>
      <t xml:space="preserve">는 신규 항목으로 별도</t>
    </r>
    <r>
      <rPr>
        <sz val="10"/>
        <rFont val="맑은 고딕"/>
        <family val="0"/>
        <charset val="1"/>
      </rPr>
      <t xml:space="preserve">)</t>
    </r>
  </si>
  <si>
    <t xml:space="preserve">유지</t>
  </si>
  <si>
    <r>
      <rPr>
        <sz val="10"/>
        <rFont val="WenQuanYi Zen Hei"/>
        <family val="2"/>
      </rPr>
      <t xml:space="preserve">유지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평가셋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정기평가는 신규 항목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</si>
  <si>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VOC </t>
    </r>
    <r>
      <rPr>
        <sz val="10"/>
        <rFont val="WenQuanYi Zen Hei"/>
        <family val="2"/>
      </rPr>
      <t xml:space="preserve">분류 재활용분만 반영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보고서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규정분석 </t>
    </r>
    <r>
      <rPr>
        <sz val="10"/>
        <rFont val="맑은 고딕"/>
        <family val="0"/>
        <charset val="1"/>
      </rPr>
      <t xml:space="preserve">Agent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'28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이연</t>
    </r>
  </si>
  <si>
    <r>
      <rPr>
        <sz val="10"/>
        <rFont val="맑은 고딕"/>
        <family val="0"/>
        <charset val="1"/>
      </rPr>
      <t xml:space="preserve">'28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이연 → 기획안 신규 과업 재원으로 전환</t>
    </r>
  </si>
  <si>
    <t xml:space="preserve">스마트온 계정연계까지 범위 확대</t>
  </si>
  <si>
    <r>
      <rPr>
        <b val="true"/>
        <sz val="10"/>
        <rFont val="WenQuanYi Zen Hei"/>
        <family val="2"/>
      </rPr>
      <t xml:space="preserve">신규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기획안에만 있음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</si>
  <si>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기획안에만 있는 과업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전수조사</t>
    </r>
    <r>
      <rPr>
        <sz val="10"/>
        <rFont val="맑은 고딕"/>
        <family val="0"/>
        <charset val="1"/>
      </rPr>
      <t xml:space="preserve">·STT·</t>
    </r>
    <r>
      <rPr>
        <sz val="10"/>
        <rFont val="WenQuanYi Zen Hei"/>
        <family val="2"/>
      </rPr>
      <t xml:space="preserve">대국민 챗봇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평가셋 등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</si>
  <si>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공통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사업관리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품질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</si>
  <si>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사업관리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통합테스트</t>
    </r>
    <r>
      <rPr>
        <sz val="10"/>
        <rFont val="맑은 고딕"/>
        <family val="0"/>
        <charset val="1"/>
      </rPr>
      <t xml:space="preserve">(27</t>
    </r>
    <r>
      <rPr>
        <sz val="10"/>
        <rFont val="WenQuanYi Zen Hei"/>
        <family val="2"/>
      </rPr>
      <t xml:space="preserve">예산 각 항목에 내재되어 있던 공통비 명시</t>
    </r>
    <r>
      <rPr>
        <sz val="1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</si>
</sst>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00"/>
    <numFmt numFmtId="166" formatCode="0.0%"/>
    <numFmt numFmtId="167" formatCode="0%"/>
    <numFmt numFmtId="168" formatCode="#,##0"/>
    <numFmt numFmtId="169" formatCode="0.00"/>
    <numFmt numFmtId="170" formatCode="0.0"/>
    <numFmt numFmtId="171" formatCode="#,##0.0;\(#,##0.0\);\-"/>
    <numFmt numFmtId="172" formatCode="General"/>
    <numFmt numFmtId="173" formatCode="#,##0;\(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맑은 고딕"/>
      <family val="0"/>
      <charset val="1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WenQuanYi Zen Hei"/>
      <family val="2"/>
    </font>
    <font>
      <sz val="10"/>
      <color rgb="FF0000FF"/>
      <name val="맑은 고딕"/>
      <family val="0"/>
      <charset val="1"/>
    </font>
    <font>
      <sz val="10"/>
      <color rgb="FF008000"/>
      <name val="맑은 고딕"/>
      <family val="0"/>
      <charset val="1"/>
    </font>
    <font>
      <b val="true"/>
      <sz val="10"/>
      <color rgb="FF008000"/>
      <name val="맑은 고딕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WenQuanYi Zen He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FFF"/>
        <bgColor rgb="FFEDEDED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26.85" hidden="false" customHeight="false" outlineLevel="0" collapsed="false">
      <c r="A6" s="5" t="s">
        <v>6</v>
      </c>
      <c r="B6" s="6" t="n">
        <v>6.943457</v>
      </c>
      <c r="C6" s="5" t="s">
        <v>7</v>
      </c>
    </row>
    <row r="7" customFormat="false" ht="26.85" hidden="false" customHeight="false" outlineLevel="0" collapsed="false">
      <c r="A7" s="5" t="s">
        <v>8</v>
      </c>
      <c r="B7" s="7" t="n">
        <v>0.047</v>
      </c>
      <c r="C7" s="5" t="s">
        <v>9</v>
      </c>
    </row>
    <row r="8" customFormat="false" ht="15" hidden="false" customHeight="false" outlineLevel="0" collapsed="false">
      <c r="A8" s="8" t="s">
        <v>10</v>
      </c>
      <c r="B8" s="9" t="n">
        <v>1.1</v>
      </c>
      <c r="C8" s="5" t="s">
        <v>11</v>
      </c>
    </row>
    <row r="9" customFormat="false" ht="15" hidden="false" customHeight="false" outlineLevel="0" collapsed="false">
      <c r="A9" s="8" t="s">
        <v>12</v>
      </c>
      <c r="B9" s="9" t="n">
        <v>0.2</v>
      </c>
      <c r="C9" s="5" t="s">
        <v>13</v>
      </c>
    </row>
    <row r="10" customFormat="false" ht="15" hidden="false" customHeight="false" outlineLevel="0" collapsed="false">
      <c r="A10" s="8" t="s">
        <v>14</v>
      </c>
      <c r="B10" s="9" t="n">
        <v>0.1</v>
      </c>
      <c r="C10" s="5"/>
    </row>
    <row r="11" customFormat="false" ht="15" hidden="false" customHeight="false" outlineLevel="0" collapsed="false">
      <c r="A11" s="5" t="s">
        <v>15</v>
      </c>
      <c r="B11" s="10" t="n">
        <v>758</v>
      </c>
      <c r="C11" s="5" t="s">
        <v>16</v>
      </c>
    </row>
    <row r="12" customFormat="false" ht="26.85" hidden="false" customHeight="false" outlineLevel="0" collapsed="false">
      <c r="A12" s="11" t="s">
        <v>17</v>
      </c>
      <c r="B12" s="12" t="n">
        <f aca="false">'0.개요'!$B$6*(1+'0.개요'!$B$7)</f>
        <v>7.269799479</v>
      </c>
      <c r="C12" s="5" t="s">
        <v>18</v>
      </c>
    </row>
    <row r="13" customFormat="false" ht="15" hidden="false" customHeight="false" outlineLevel="0" collapsed="false">
      <c r="A13" s="11" t="s">
        <v>19</v>
      </c>
      <c r="B13" s="13" t="n">
        <f aca="false">'0.개요'!$B$12*(1+'0.개요'!$B$8)*(1+'0.개요'!$B$9)</f>
        <v>18.31989468708</v>
      </c>
      <c r="C13" s="8" t="s">
        <v>20</v>
      </c>
    </row>
    <row r="16" customFormat="false" ht="15" hidden="false" customHeight="false" outlineLevel="0" collapsed="false">
      <c r="A16" s="3" t="s">
        <v>21</v>
      </c>
    </row>
    <row r="17" customFormat="false" ht="15" hidden="false" customHeight="false" outlineLevel="0" collapsed="false">
      <c r="A17" s="4" t="s">
        <v>22</v>
      </c>
      <c r="B17" s="4" t="s">
        <v>23</v>
      </c>
      <c r="C17" s="4" t="s">
        <v>24</v>
      </c>
    </row>
    <row r="18" customFormat="false" ht="26.85" hidden="false" customHeight="false" outlineLevel="0" collapsed="false">
      <c r="A18" s="8" t="s">
        <v>25</v>
      </c>
      <c r="B18" s="14" t="n">
        <f aca="false">'3.견적서'!G5</f>
        <v>10</v>
      </c>
      <c r="C18" s="15" t="n">
        <f aca="false">'3.견적서'!J5</f>
        <v>197.6989468708</v>
      </c>
    </row>
    <row r="19" customFormat="false" ht="26.85" hidden="false" customHeight="false" outlineLevel="0" collapsed="false">
      <c r="A19" s="8" t="s">
        <v>26</v>
      </c>
      <c r="B19" s="14" t="n">
        <f aca="false">'3.견적서'!G19</f>
        <v>5.5</v>
      </c>
      <c r="C19" s="15" t="n">
        <f aca="false">'3.견적서'!J19</f>
        <v>150.75942077894</v>
      </c>
    </row>
    <row r="20" customFormat="false" ht="26.85" hidden="false" customHeight="false" outlineLevel="0" collapsed="false">
      <c r="A20" s="8" t="s">
        <v>27</v>
      </c>
      <c r="B20" s="14" t="n">
        <f aca="false">'3.견적서'!G31</f>
        <v>7.5</v>
      </c>
      <c r="C20" s="15" t="n">
        <f aca="false">'3.견적서'!J31</f>
        <v>137.3992101531</v>
      </c>
    </row>
    <row r="21" customFormat="false" ht="26.85" hidden="false" customHeight="false" outlineLevel="0" collapsed="false">
      <c r="A21" s="8" t="s">
        <v>28</v>
      </c>
      <c r="B21" s="14" t="n">
        <f aca="false">'3.견적서'!G43</f>
        <v>7.5</v>
      </c>
      <c r="C21" s="15" t="n">
        <f aca="false">'3.견적서'!J43</f>
        <v>145.3992101531</v>
      </c>
    </row>
    <row r="22" customFormat="false" ht="15" hidden="false" customHeight="false" outlineLevel="0" collapsed="false">
      <c r="A22" s="8" t="s">
        <v>29</v>
      </c>
      <c r="B22" s="14" t="n">
        <f aca="false">'3.견적서'!G55</f>
        <v>3</v>
      </c>
      <c r="C22" s="15" t="n">
        <f aca="false">'3.견적서'!J55</f>
        <v>54.95968406124</v>
      </c>
    </row>
    <row r="23" customFormat="false" ht="15" hidden="false" customHeight="false" outlineLevel="0" collapsed="false">
      <c r="A23" s="16" t="s">
        <v>30</v>
      </c>
      <c r="B23" s="17"/>
      <c r="C23" s="18" t="n">
        <f aca="false">'3.견적서'!J63</f>
        <v>686.21647201718</v>
      </c>
    </row>
    <row r="24" customFormat="false" ht="15" hidden="false" customHeight="false" outlineLevel="0" collapsed="false">
      <c r="A24" s="16" t="s">
        <v>31</v>
      </c>
      <c r="B24" s="17"/>
      <c r="C24" s="18" t="n">
        <f aca="false">'3.견적서'!J64</f>
        <v>68.621647201718</v>
      </c>
    </row>
    <row r="25" customFormat="false" ht="15" hidden="false" customHeight="false" outlineLevel="0" collapsed="false">
      <c r="A25" s="16" t="s">
        <v>32</v>
      </c>
      <c r="B25" s="17"/>
      <c r="C25" s="18" t="n">
        <f aca="false">'3.견적서'!J65</f>
        <v>754.838119218898</v>
      </c>
    </row>
    <row r="26" customFormat="false" ht="15" hidden="false" customHeight="false" outlineLevel="0" collapsed="false">
      <c r="A26" s="19" t="s">
        <v>33</v>
      </c>
      <c r="B26" s="17"/>
      <c r="C26" s="18" t="n">
        <f aca="false">'3.견적서'!J66</f>
        <v>758</v>
      </c>
    </row>
    <row r="27" customFormat="false" ht="15" hidden="false" customHeight="false" outlineLevel="0" collapsed="false">
      <c r="A27" s="16" t="s">
        <v>34</v>
      </c>
      <c r="B27" s="17"/>
      <c r="C27" s="18" t="n">
        <f aca="false">'3.견적서'!J67</f>
        <v>3.16188078110201</v>
      </c>
    </row>
    <row r="29" customFormat="false" ht="15" hidden="false" customHeight="false" outlineLevel="0" collapsed="false">
      <c r="A29" s="3" t="s">
        <v>35</v>
      </c>
    </row>
    <row r="30" customFormat="false" ht="15" hidden="false" customHeight="false" outlineLevel="0" collapsed="false">
      <c r="A30" s="20" t="s">
        <v>36</v>
      </c>
      <c r="B30" s="5"/>
      <c r="C30" s="5" t="s">
        <v>37</v>
      </c>
    </row>
    <row r="31" customFormat="false" ht="15" hidden="false" customHeight="false" outlineLevel="0" collapsed="false">
      <c r="A31" s="16" t="s">
        <v>38</v>
      </c>
      <c r="B31" s="5"/>
      <c r="C31" s="5" t="s">
        <v>39</v>
      </c>
    </row>
    <row r="32" customFormat="false" ht="15" hidden="false" customHeight="false" outlineLevel="0" collapsed="false">
      <c r="A32" s="21" t="s">
        <v>40</v>
      </c>
      <c r="B32" s="5"/>
      <c r="C32" s="8" t="s">
        <v>41</v>
      </c>
    </row>
    <row r="33" customFormat="false" ht="15" hidden="false" customHeight="false" outlineLevel="0" collapsed="false">
      <c r="A33" s="22" t="s">
        <v>42</v>
      </c>
      <c r="B33" s="5"/>
      <c r="C33" s="5" t="s">
        <v>43</v>
      </c>
    </row>
    <row r="34" customFormat="false" ht="15" hidden="false" customHeight="false" outlineLevel="0" collapsed="false">
      <c r="A34" s="23" t="s">
        <v>44</v>
      </c>
      <c r="B34" s="5"/>
      <c r="C34" s="8" t="s">
        <v>45</v>
      </c>
    </row>
    <row r="35" customFormat="false" ht="15" hidden="false" customHeight="false" outlineLevel="0" collapsed="false">
      <c r="A35" s="24" t="s">
        <v>46</v>
      </c>
      <c r="B35" s="5"/>
      <c r="C35" s="8" t="s">
        <v>47</v>
      </c>
    </row>
    <row r="37" customFormat="false" ht="15" hidden="false" customHeight="false" outlineLevel="0" collapsed="false">
      <c r="A37" s="3" t="s">
        <v>48</v>
      </c>
    </row>
    <row r="38" customFormat="false" ht="14.15" hidden="false" customHeight="false" outlineLevel="0" collapsed="false">
      <c r="A38" s="25" t="s">
        <v>49</v>
      </c>
      <c r="B38" s="25"/>
      <c r="C38" s="25"/>
    </row>
    <row r="39" customFormat="false" ht="14.15" hidden="false" customHeight="false" outlineLevel="0" collapsed="false">
      <c r="A39" s="25" t="s">
        <v>50</v>
      </c>
      <c r="B39" s="25"/>
      <c r="C39" s="25"/>
    </row>
    <row r="40" customFormat="false" ht="14.15" hidden="false" customHeight="false" outlineLevel="0" collapsed="false">
      <c r="A40" s="25" t="s">
        <v>51</v>
      </c>
      <c r="B40" s="25"/>
      <c r="C40" s="25"/>
    </row>
    <row r="41" customFormat="false" ht="14.15" hidden="false" customHeight="false" outlineLevel="0" collapsed="false">
      <c r="A41" s="25" t="s">
        <v>52</v>
      </c>
      <c r="B41" s="25"/>
      <c r="C41" s="25"/>
    </row>
  </sheetData>
  <mergeCells count="4">
    <mergeCell ref="A38:C38"/>
    <mergeCell ref="A39:C39"/>
    <mergeCell ref="A40:C40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18"/>
  </cols>
  <sheetData>
    <row r="1" customFormat="false" ht="19.4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4" t="s">
        <v>22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26" t="s">
        <v>60</v>
      </c>
      <c r="H4" s="4" t="s">
        <v>61</v>
      </c>
    </row>
    <row r="5" customFormat="false" ht="26.85" hidden="false" customHeight="true" outlineLevel="0" collapsed="false">
      <c r="A5" s="27" t="s">
        <v>62</v>
      </c>
      <c r="B5" s="27" t="s">
        <v>63</v>
      </c>
      <c r="C5" s="28" t="s">
        <v>64</v>
      </c>
      <c r="D5" s="21" t="s">
        <v>65</v>
      </c>
      <c r="E5" s="29" t="s">
        <v>66</v>
      </c>
      <c r="F5" s="30" t="s">
        <v>67</v>
      </c>
      <c r="G5" s="30" t="s">
        <v>67</v>
      </c>
      <c r="H5" s="31" t="s">
        <v>40</v>
      </c>
    </row>
    <row r="6" customFormat="false" ht="26.85" hidden="false" customHeight="false" outlineLevel="0" collapsed="false">
      <c r="A6" s="27"/>
      <c r="B6" s="27"/>
      <c r="C6" s="32" t="s">
        <v>68</v>
      </c>
      <c r="D6" s="33" t="s">
        <v>69</v>
      </c>
      <c r="E6" s="33" t="s">
        <v>70</v>
      </c>
      <c r="F6" s="34" t="s">
        <v>71</v>
      </c>
      <c r="G6" s="33" t="s">
        <v>72</v>
      </c>
      <c r="H6" s="35" t="s">
        <v>36</v>
      </c>
    </row>
    <row r="7" customFormat="false" ht="26.85" hidden="false" customHeight="false" outlineLevel="0" collapsed="false">
      <c r="A7" s="27"/>
      <c r="B7" s="27"/>
      <c r="C7" s="32" t="s">
        <v>73</v>
      </c>
      <c r="D7" s="33" t="s">
        <v>74</v>
      </c>
      <c r="E7" s="33" t="s">
        <v>74</v>
      </c>
      <c r="F7" s="34" t="s">
        <v>71</v>
      </c>
      <c r="G7" s="33" t="s">
        <v>75</v>
      </c>
      <c r="H7" s="35" t="s">
        <v>36</v>
      </c>
    </row>
    <row r="8" customFormat="false" ht="26.85" hidden="false" customHeight="false" outlineLevel="0" collapsed="false">
      <c r="A8" s="27"/>
      <c r="B8" s="27"/>
      <c r="C8" s="32" t="s">
        <v>76</v>
      </c>
      <c r="D8" s="33" t="s">
        <v>77</v>
      </c>
      <c r="E8" s="33" t="s">
        <v>77</v>
      </c>
      <c r="F8" s="33" t="s">
        <v>78</v>
      </c>
      <c r="G8" s="33" t="s">
        <v>79</v>
      </c>
      <c r="H8" s="35" t="s">
        <v>36</v>
      </c>
    </row>
    <row r="9" customFormat="false" ht="26.85" hidden="false" customHeight="false" outlineLevel="0" collapsed="false">
      <c r="A9" s="27"/>
      <c r="B9" s="27"/>
      <c r="C9" s="32" t="s">
        <v>80</v>
      </c>
      <c r="D9" s="33" t="s">
        <v>81</v>
      </c>
      <c r="E9" s="33" t="s">
        <v>81</v>
      </c>
      <c r="F9" s="33" t="s">
        <v>78</v>
      </c>
      <c r="G9" s="33" t="s">
        <v>82</v>
      </c>
      <c r="H9" s="35" t="s">
        <v>36</v>
      </c>
    </row>
    <row r="10" customFormat="false" ht="15" hidden="false" customHeight="false" outlineLevel="0" collapsed="false">
      <c r="A10" s="27"/>
      <c r="B10" s="27"/>
      <c r="C10" s="28" t="s">
        <v>83</v>
      </c>
      <c r="D10" s="36" t="s">
        <v>84</v>
      </c>
      <c r="E10" s="30" t="s">
        <v>85</v>
      </c>
      <c r="F10" s="30" t="s">
        <v>67</v>
      </c>
      <c r="G10" s="30" t="s">
        <v>67</v>
      </c>
      <c r="H10" s="31" t="s">
        <v>40</v>
      </c>
    </row>
    <row r="11" customFormat="false" ht="26.85" hidden="false" customHeight="false" outlineLevel="0" collapsed="false">
      <c r="A11" s="27"/>
      <c r="B11" s="27"/>
      <c r="C11" s="37" t="s">
        <v>86</v>
      </c>
      <c r="D11" s="38" t="s">
        <v>87</v>
      </c>
      <c r="E11" s="17" t="s">
        <v>88</v>
      </c>
      <c r="F11" s="38" t="s">
        <v>78</v>
      </c>
      <c r="G11" s="38" t="s">
        <v>89</v>
      </c>
      <c r="H11" s="39" t="s">
        <v>38</v>
      </c>
    </row>
    <row r="12" customFormat="false" ht="26.1" hidden="false" customHeight="true" outlineLevel="0" collapsed="false">
      <c r="A12" s="27" t="s">
        <v>90</v>
      </c>
      <c r="B12" s="27" t="s">
        <v>91</v>
      </c>
      <c r="C12" s="37" t="s">
        <v>92</v>
      </c>
      <c r="D12" s="38" t="s">
        <v>93</v>
      </c>
      <c r="E12" s="38" t="s">
        <v>94</v>
      </c>
      <c r="F12" s="38" t="s">
        <v>95</v>
      </c>
      <c r="G12" s="38" t="s">
        <v>96</v>
      </c>
      <c r="H12" s="39" t="s">
        <v>38</v>
      </c>
    </row>
    <row r="13" customFormat="false" ht="26.1" hidden="false" customHeight="false" outlineLevel="0" collapsed="false">
      <c r="A13" s="27"/>
      <c r="B13" s="27"/>
      <c r="C13" s="37" t="s">
        <v>97</v>
      </c>
      <c r="D13" s="38" t="s">
        <v>98</v>
      </c>
      <c r="E13" s="38" t="s">
        <v>99</v>
      </c>
      <c r="F13" s="17" t="s">
        <v>100</v>
      </c>
      <c r="G13" s="38" t="s">
        <v>101</v>
      </c>
      <c r="H13" s="39" t="s">
        <v>38</v>
      </c>
    </row>
    <row r="14" customFormat="false" ht="15" hidden="false" customHeight="false" outlineLevel="0" collapsed="false">
      <c r="A14" s="27"/>
      <c r="B14" s="27"/>
      <c r="C14" s="32" t="s">
        <v>102</v>
      </c>
      <c r="D14" s="33" t="s">
        <v>103</v>
      </c>
      <c r="E14" s="33" t="s">
        <v>103</v>
      </c>
      <c r="F14" s="33" t="s">
        <v>95</v>
      </c>
      <c r="G14" s="33" t="s">
        <v>104</v>
      </c>
      <c r="H14" s="35" t="s">
        <v>36</v>
      </c>
    </row>
    <row r="15" customFormat="false" ht="15" hidden="false" customHeight="false" outlineLevel="0" collapsed="false">
      <c r="A15" s="27"/>
      <c r="B15" s="27"/>
      <c r="C15" s="32" t="s">
        <v>105</v>
      </c>
      <c r="D15" s="33" t="s">
        <v>106</v>
      </c>
      <c r="E15" s="33" t="s">
        <v>106</v>
      </c>
      <c r="F15" s="33" t="s">
        <v>95</v>
      </c>
      <c r="G15" s="33" t="s">
        <v>107</v>
      </c>
      <c r="H15" s="35" t="s">
        <v>36</v>
      </c>
    </row>
    <row r="16" customFormat="false" ht="15" hidden="false" customHeight="false" outlineLevel="0" collapsed="false">
      <c r="A16" s="27"/>
      <c r="B16" s="27"/>
      <c r="C16" s="28" t="s">
        <v>108</v>
      </c>
      <c r="D16" s="21" t="s">
        <v>109</v>
      </c>
      <c r="E16" s="29" t="s">
        <v>110</v>
      </c>
      <c r="F16" s="30" t="s">
        <v>67</v>
      </c>
      <c r="G16" s="30" t="s">
        <v>67</v>
      </c>
      <c r="H16" s="31" t="s">
        <v>40</v>
      </c>
    </row>
    <row r="17" customFormat="false" ht="26.85" hidden="false" customHeight="false" outlineLevel="0" collapsed="false">
      <c r="A17" s="27"/>
      <c r="B17" s="27"/>
      <c r="C17" s="28" t="s">
        <v>111</v>
      </c>
      <c r="D17" s="21" t="s">
        <v>112</v>
      </c>
      <c r="E17" s="29" t="s">
        <v>113</v>
      </c>
      <c r="F17" s="30" t="s">
        <v>67</v>
      </c>
      <c r="G17" s="30" t="s">
        <v>67</v>
      </c>
      <c r="H17" s="31" t="s">
        <v>40</v>
      </c>
    </row>
    <row r="18" customFormat="false" ht="15" hidden="false" customHeight="true" outlineLevel="0" collapsed="false">
      <c r="A18" s="27" t="s">
        <v>114</v>
      </c>
      <c r="B18" s="27" t="s">
        <v>115</v>
      </c>
      <c r="C18" s="28" t="s">
        <v>116</v>
      </c>
      <c r="D18" s="21" t="s">
        <v>117</v>
      </c>
      <c r="E18" s="29" t="s">
        <v>118</v>
      </c>
      <c r="F18" s="30" t="s">
        <v>67</v>
      </c>
      <c r="G18" s="30" t="s">
        <v>67</v>
      </c>
      <c r="H18" s="31" t="s">
        <v>40</v>
      </c>
    </row>
    <row r="19" customFormat="false" ht="26.85" hidden="false" customHeight="false" outlineLevel="0" collapsed="false">
      <c r="A19" s="27"/>
      <c r="B19" s="27"/>
      <c r="C19" s="28" t="s">
        <v>119</v>
      </c>
      <c r="D19" s="21" t="s">
        <v>120</v>
      </c>
      <c r="E19" s="29" t="s">
        <v>121</v>
      </c>
      <c r="F19" s="30" t="s">
        <v>67</v>
      </c>
      <c r="G19" s="30" t="s">
        <v>67</v>
      </c>
      <c r="H19" s="31" t="s">
        <v>40</v>
      </c>
    </row>
    <row r="20" customFormat="false" ht="26.85" hidden="false" customHeight="false" outlineLevel="0" collapsed="false">
      <c r="A20" s="27"/>
      <c r="B20" s="27"/>
      <c r="C20" s="28" t="s">
        <v>122</v>
      </c>
      <c r="D20" s="36" t="s">
        <v>123</v>
      </c>
      <c r="E20" s="29" t="s">
        <v>124</v>
      </c>
      <c r="F20" s="30" t="s">
        <v>67</v>
      </c>
      <c r="G20" s="30" t="s">
        <v>67</v>
      </c>
      <c r="H20" s="31" t="s">
        <v>40</v>
      </c>
    </row>
    <row r="21" customFormat="false" ht="26.1" hidden="false" customHeight="false" outlineLevel="0" collapsed="false">
      <c r="A21" s="27"/>
      <c r="B21" s="27"/>
      <c r="C21" s="37" t="s">
        <v>125</v>
      </c>
      <c r="D21" s="38" t="s">
        <v>126</v>
      </c>
      <c r="E21" s="38" t="s">
        <v>127</v>
      </c>
      <c r="F21" s="38" t="s">
        <v>128</v>
      </c>
      <c r="G21" s="38" t="s">
        <v>129</v>
      </c>
      <c r="H21" s="39" t="s">
        <v>38</v>
      </c>
    </row>
    <row r="22" customFormat="false" ht="15" hidden="false" customHeight="false" outlineLevel="0" collapsed="false">
      <c r="A22" s="27"/>
      <c r="B22" s="27"/>
      <c r="C22" s="28" t="s">
        <v>130</v>
      </c>
      <c r="D22" s="21" t="s">
        <v>131</v>
      </c>
      <c r="E22" s="30" t="s">
        <v>132</v>
      </c>
      <c r="F22" s="30" t="s">
        <v>67</v>
      </c>
      <c r="G22" s="30" t="s">
        <v>67</v>
      </c>
      <c r="H22" s="31" t="s">
        <v>40</v>
      </c>
    </row>
    <row r="23" customFormat="false" ht="26.85" hidden="false" customHeight="false" outlineLevel="0" collapsed="false">
      <c r="A23" s="27"/>
      <c r="B23" s="27"/>
      <c r="C23" s="28" t="s">
        <v>133</v>
      </c>
      <c r="D23" s="21" t="s">
        <v>134</v>
      </c>
      <c r="E23" s="30" t="s">
        <v>135</v>
      </c>
      <c r="F23" s="30" t="s">
        <v>67</v>
      </c>
      <c r="G23" s="30" t="s">
        <v>67</v>
      </c>
      <c r="H23" s="31" t="s">
        <v>40</v>
      </c>
    </row>
    <row r="24" customFormat="false" ht="26.85" hidden="false" customHeight="true" outlineLevel="0" collapsed="false">
      <c r="A24" s="27" t="s">
        <v>136</v>
      </c>
      <c r="B24" s="40" t="s">
        <v>137</v>
      </c>
      <c r="C24" s="32" t="s">
        <v>138</v>
      </c>
      <c r="D24" s="34" t="s">
        <v>139</v>
      </c>
      <c r="E24" s="34" t="s">
        <v>140</v>
      </c>
      <c r="F24" s="34" t="s">
        <v>71</v>
      </c>
      <c r="G24" s="33" t="s">
        <v>141</v>
      </c>
      <c r="H24" s="35" t="s">
        <v>36</v>
      </c>
    </row>
    <row r="25" customFormat="false" ht="26.85" hidden="false" customHeight="false" outlineLevel="0" collapsed="false">
      <c r="A25" s="27"/>
      <c r="B25" s="27"/>
      <c r="C25" s="32" t="s">
        <v>142</v>
      </c>
      <c r="D25" s="33" t="s">
        <v>143</v>
      </c>
      <c r="E25" s="33" t="s">
        <v>143</v>
      </c>
      <c r="F25" s="34" t="s">
        <v>71</v>
      </c>
      <c r="G25" s="33" t="s">
        <v>144</v>
      </c>
      <c r="H25" s="35" t="s">
        <v>36</v>
      </c>
    </row>
    <row r="26" customFormat="false" ht="15" hidden="false" customHeight="false" outlineLevel="0" collapsed="false">
      <c r="A26" s="27"/>
      <c r="B26" s="27"/>
      <c r="C26" s="32" t="s">
        <v>145</v>
      </c>
      <c r="D26" s="33" t="s">
        <v>146</v>
      </c>
      <c r="E26" s="33" t="s">
        <v>146</v>
      </c>
      <c r="F26" s="33" t="s">
        <v>147</v>
      </c>
      <c r="G26" s="33" t="s">
        <v>148</v>
      </c>
      <c r="H26" s="35" t="s">
        <v>36</v>
      </c>
    </row>
    <row r="27" customFormat="false" ht="26.85" hidden="false" customHeight="false" outlineLevel="0" collapsed="false">
      <c r="A27" s="27"/>
      <c r="B27" s="27"/>
      <c r="C27" s="32" t="s">
        <v>149</v>
      </c>
      <c r="D27" s="33" t="s">
        <v>150</v>
      </c>
      <c r="E27" s="33" t="s">
        <v>150</v>
      </c>
      <c r="F27" s="33" t="s">
        <v>147</v>
      </c>
      <c r="G27" s="34" t="s">
        <v>151</v>
      </c>
      <c r="H27" s="35" t="s">
        <v>36</v>
      </c>
    </row>
    <row r="28" customFormat="false" ht="15" hidden="false" customHeight="false" outlineLevel="0" collapsed="false">
      <c r="A28" s="27"/>
      <c r="B28" s="27"/>
      <c r="C28" s="28" t="s">
        <v>152</v>
      </c>
      <c r="D28" s="21" t="s">
        <v>153</v>
      </c>
      <c r="E28" s="29" t="s">
        <v>153</v>
      </c>
      <c r="F28" s="30" t="s">
        <v>67</v>
      </c>
      <c r="G28" s="30" t="s">
        <v>67</v>
      </c>
      <c r="H28" s="31" t="s">
        <v>40</v>
      </c>
    </row>
    <row r="29" customFormat="false" ht="26.85" hidden="false" customHeight="false" outlineLevel="0" collapsed="false">
      <c r="A29" s="27"/>
      <c r="B29" s="27"/>
      <c r="C29" s="28" t="s">
        <v>154</v>
      </c>
      <c r="D29" s="21" t="s">
        <v>155</v>
      </c>
      <c r="E29" s="29" t="s">
        <v>156</v>
      </c>
      <c r="F29" s="30" t="s">
        <v>67</v>
      </c>
      <c r="G29" s="30" t="s">
        <v>67</v>
      </c>
      <c r="H29" s="31" t="s">
        <v>40</v>
      </c>
    </row>
    <row r="30" customFormat="false" ht="26.1" hidden="false" customHeight="false" outlineLevel="0" collapsed="false">
      <c r="A30" s="27"/>
      <c r="B30" s="27"/>
      <c r="C30" s="37" t="s">
        <v>157</v>
      </c>
      <c r="D30" s="38" t="s">
        <v>158</v>
      </c>
      <c r="E30" s="38" t="s">
        <v>158</v>
      </c>
      <c r="F30" s="38" t="s">
        <v>147</v>
      </c>
      <c r="G30" s="38" t="s">
        <v>159</v>
      </c>
      <c r="H30" s="39" t="s">
        <v>38</v>
      </c>
    </row>
    <row r="31" customFormat="false" ht="26.85" hidden="false" customHeight="false" outlineLevel="0" collapsed="false">
      <c r="A31" s="27" t="s">
        <v>160</v>
      </c>
      <c r="B31" s="27" t="s">
        <v>161</v>
      </c>
      <c r="C31" s="41" t="s">
        <v>162</v>
      </c>
      <c r="D31" s="42" t="s">
        <v>163</v>
      </c>
      <c r="E31" s="43" t="s">
        <v>164</v>
      </c>
      <c r="F31" s="43" t="s">
        <v>67</v>
      </c>
      <c r="G31" s="43" t="s">
        <v>67</v>
      </c>
      <c r="H31" s="44" t="s">
        <v>160</v>
      </c>
    </row>
    <row r="32" customFormat="false" ht="39.55" hidden="false" customHeight="true" outlineLevel="0" collapsed="false">
      <c r="A32" s="40" t="s">
        <v>165</v>
      </c>
      <c r="B32" s="27" t="s">
        <v>166</v>
      </c>
      <c r="C32" s="45" t="s">
        <v>167</v>
      </c>
      <c r="D32" s="46" t="s">
        <v>168</v>
      </c>
      <c r="E32" s="46" t="s">
        <v>169</v>
      </c>
      <c r="F32" s="46" t="s">
        <v>128</v>
      </c>
      <c r="G32" s="46" t="s">
        <v>170</v>
      </c>
      <c r="H32" s="47" t="s">
        <v>42</v>
      </c>
    </row>
    <row r="33" customFormat="false" ht="39.55" hidden="false" customHeight="false" outlineLevel="0" collapsed="false">
      <c r="A33" s="40"/>
      <c r="B33" s="40"/>
      <c r="C33" s="45" t="s">
        <v>171</v>
      </c>
      <c r="D33" s="46" t="s">
        <v>172</v>
      </c>
      <c r="E33" s="46" t="s">
        <v>173</v>
      </c>
      <c r="F33" s="46" t="s">
        <v>128</v>
      </c>
      <c r="G33" s="46" t="s">
        <v>170</v>
      </c>
      <c r="H33" s="47" t="s">
        <v>42</v>
      </c>
    </row>
    <row r="34" customFormat="false" ht="39.55" hidden="false" customHeight="false" outlineLevel="0" collapsed="false">
      <c r="A34" s="40"/>
      <c r="B34" s="40"/>
      <c r="C34" s="45" t="s">
        <v>174</v>
      </c>
      <c r="D34" s="46" t="s">
        <v>175</v>
      </c>
      <c r="E34" s="46" t="s">
        <v>173</v>
      </c>
      <c r="F34" s="46" t="s">
        <v>128</v>
      </c>
      <c r="G34" s="46" t="s">
        <v>170</v>
      </c>
      <c r="H34" s="47" t="s">
        <v>42</v>
      </c>
    </row>
    <row r="35" customFormat="false" ht="39.55" hidden="false" customHeight="false" outlineLevel="0" collapsed="false">
      <c r="A35" s="40"/>
      <c r="B35" s="40"/>
      <c r="C35" s="45" t="s">
        <v>176</v>
      </c>
      <c r="D35" s="46" t="s">
        <v>177</v>
      </c>
      <c r="E35" s="46" t="s">
        <v>178</v>
      </c>
      <c r="F35" s="46" t="s">
        <v>179</v>
      </c>
      <c r="G35" s="46" t="s">
        <v>180</v>
      </c>
      <c r="H35" s="47" t="s">
        <v>42</v>
      </c>
    </row>
    <row r="36" customFormat="false" ht="39.55" hidden="false" customHeight="false" outlineLevel="0" collapsed="false">
      <c r="A36" s="40"/>
      <c r="B36" s="40"/>
      <c r="C36" s="45" t="s">
        <v>181</v>
      </c>
      <c r="D36" s="46" t="s">
        <v>182</v>
      </c>
      <c r="E36" s="46" t="s">
        <v>178</v>
      </c>
      <c r="F36" s="46" t="s">
        <v>179</v>
      </c>
      <c r="G36" s="46" t="s">
        <v>180</v>
      </c>
      <c r="H36" s="47" t="s">
        <v>42</v>
      </c>
    </row>
    <row r="38" customFormat="false" ht="26.85" hidden="false" customHeight="false" outlineLevel="0" collapsed="false">
      <c r="A38" s="3" t="s">
        <v>183</v>
      </c>
    </row>
    <row r="39" customFormat="false" ht="15" hidden="false" customHeight="false" outlineLevel="0" collapsed="false">
      <c r="B39" s="4" t="s">
        <v>184</v>
      </c>
      <c r="C39" s="4" t="s">
        <v>185</v>
      </c>
    </row>
    <row r="40" customFormat="false" ht="15" hidden="false" customHeight="false" outlineLevel="0" collapsed="false">
      <c r="B40" s="33" t="s">
        <v>36</v>
      </c>
      <c r="C40" s="48" t="n">
        <f aca="false">COUNTIF($H$5:$H$36,B40)</f>
        <v>10</v>
      </c>
    </row>
    <row r="41" customFormat="false" ht="15" hidden="false" customHeight="false" outlineLevel="0" collapsed="false">
      <c r="B41" s="38" t="s">
        <v>186</v>
      </c>
      <c r="C41" s="48" t="n">
        <f aca="false">COUNTIF($H$5:$H$36,B41)</f>
        <v>5</v>
      </c>
    </row>
    <row r="42" customFormat="false" ht="15" hidden="false" customHeight="false" outlineLevel="0" collapsed="false">
      <c r="B42" s="29" t="s">
        <v>40</v>
      </c>
      <c r="C42" s="48" t="n">
        <f aca="false">COUNTIF($H$5:$H$36,B42)</f>
        <v>11</v>
      </c>
    </row>
    <row r="43" customFormat="false" ht="15" hidden="false" customHeight="false" outlineLevel="0" collapsed="false">
      <c r="B43" s="49" t="s">
        <v>187</v>
      </c>
      <c r="C43" s="48" t="n">
        <f aca="false">COUNTIF($H$5:$H$36,B43)</f>
        <v>5</v>
      </c>
    </row>
  </sheetData>
  <mergeCells count="10">
    <mergeCell ref="A5:A11"/>
    <mergeCell ref="B5:B11"/>
    <mergeCell ref="A12:A17"/>
    <mergeCell ref="B12:B17"/>
    <mergeCell ref="A18:A23"/>
    <mergeCell ref="B18:B23"/>
    <mergeCell ref="A24:A30"/>
    <mergeCell ref="B24:B30"/>
    <mergeCell ref="A32:A36"/>
    <mergeCell ref="B32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60"/>
  </cols>
  <sheetData>
    <row r="1" customFormat="false" ht="19.4" hidden="false" customHeight="false" outlineLevel="0" collapsed="false">
      <c r="A1" s="1" t="s">
        <v>188</v>
      </c>
    </row>
    <row r="2" customFormat="false" ht="15" hidden="false" customHeight="false" outlineLevel="0" collapsed="false">
      <c r="A2" s="50" t="s">
        <v>189</v>
      </c>
    </row>
    <row r="4" customFormat="false" ht="152.2" hidden="false" customHeight="false" outlineLevel="0" collapsed="false">
      <c r="A4" s="51" t="s">
        <v>190</v>
      </c>
    </row>
    <row r="5" customFormat="false" ht="15" hidden="false" customHeight="false" outlineLevel="0" collapsed="false">
      <c r="A5" s="26" t="s">
        <v>191</v>
      </c>
      <c r="B5" s="26" t="s">
        <v>192</v>
      </c>
      <c r="C5" s="26" t="s">
        <v>193</v>
      </c>
      <c r="D5" s="4" t="s">
        <v>194</v>
      </c>
      <c r="E5" s="4" t="s">
        <v>195</v>
      </c>
      <c r="F5" s="4" t="s">
        <v>196</v>
      </c>
    </row>
    <row r="6" customFormat="false" ht="26.85" hidden="false" customHeight="false" outlineLevel="0" collapsed="false">
      <c r="A6" s="48" t="n">
        <v>1</v>
      </c>
      <c r="B6" s="8" t="s">
        <v>95</v>
      </c>
      <c r="C6" s="52" t="n">
        <v>60</v>
      </c>
      <c r="D6" s="35" t="s">
        <v>197</v>
      </c>
      <c r="E6" s="8" t="s">
        <v>198</v>
      </c>
      <c r="F6" s="8" t="s">
        <v>199</v>
      </c>
    </row>
    <row r="7" customFormat="false" ht="15" hidden="false" customHeight="false" outlineLevel="0" collapsed="false">
      <c r="A7" s="48" t="n">
        <v>2</v>
      </c>
      <c r="B7" s="5" t="s">
        <v>71</v>
      </c>
      <c r="C7" s="52" t="n">
        <v>180</v>
      </c>
      <c r="D7" s="35" t="s">
        <v>197</v>
      </c>
      <c r="E7" s="8" t="s">
        <v>200</v>
      </c>
      <c r="F7" s="8" t="s">
        <v>201</v>
      </c>
    </row>
    <row r="8" customFormat="false" ht="26.85" hidden="false" customHeight="false" outlineLevel="0" collapsed="false">
      <c r="A8" s="48" t="n">
        <v>3</v>
      </c>
      <c r="B8" s="8" t="s">
        <v>147</v>
      </c>
      <c r="C8" s="52" t="n">
        <v>100</v>
      </c>
      <c r="D8" s="35" t="s">
        <v>197</v>
      </c>
      <c r="E8" s="8" t="s">
        <v>202</v>
      </c>
      <c r="F8" s="8" t="s">
        <v>203</v>
      </c>
    </row>
    <row r="9" customFormat="false" ht="26.85" hidden="false" customHeight="false" outlineLevel="0" collapsed="false">
      <c r="A9" s="48" t="n">
        <v>4</v>
      </c>
      <c r="B9" s="8" t="s">
        <v>128</v>
      </c>
      <c r="C9" s="52" t="n">
        <v>200</v>
      </c>
      <c r="D9" s="53" t="s">
        <v>204</v>
      </c>
      <c r="E9" s="8" t="s">
        <v>205</v>
      </c>
      <c r="F9" s="8" t="s">
        <v>206</v>
      </c>
    </row>
    <row r="10" customFormat="false" ht="26.85" hidden="false" customHeight="false" outlineLevel="0" collapsed="false">
      <c r="A10" s="48" t="n">
        <v>5</v>
      </c>
      <c r="B10" s="8" t="s">
        <v>179</v>
      </c>
      <c r="C10" s="52" t="n">
        <v>60</v>
      </c>
      <c r="D10" s="53" t="s">
        <v>204</v>
      </c>
      <c r="E10" s="5" t="s">
        <v>67</v>
      </c>
      <c r="F10" s="8" t="s">
        <v>207</v>
      </c>
    </row>
    <row r="11" customFormat="false" ht="15" hidden="false" customHeight="false" outlineLevel="0" collapsed="false">
      <c r="A11" s="48" t="n">
        <v>6</v>
      </c>
      <c r="B11" s="8" t="s">
        <v>78</v>
      </c>
      <c r="C11" s="52" t="n">
        <v>120</v>
      </c>
      <c r="D11" s="35" t="s">
        <v>197</v>
      </c>
      <c r="E11" s="8" t="s">
        <v>208</v>
      </c>
      <c r="F11" s="8" t="s">
        <v>209</v>
      </c>
    </row>
    <row r="12" customFormat="false" ht="15" hidden="false" customHeight="false" outlineLevel="0" collapsed="false">
      <c r="A12" s="48" t="n">
        <v>7</v>
      </c>
      <c r="B12" s="5" t="s">
        <v>210</v>
      </c>
      <c r="C12" s="52" t="n">
        <v>16</v>
      </c>
      <c r="D12" s="35" t="s">
        <v>197</v>
      </c>
      <c r="E12" s="8" t="s">
        <v>211</v>
      </c>
      <c r="F12" s="8" t="s">
        <v>212</v>
      </c>
    </row>
    <row r="13" customFormat="false" ht="26.85" hidden="false" customHeight="false" outlineLevel="0" collapsed="false">
      <c r="A13" s="48" t="n">
        <v>8</v>
      </c>
      <c r="B13" s="5" t="s">
        <v>100</v>
      </c>
      <c r="C13" s="52" t="n">
        <v>22</v>
      </c>
      <c r="D13" s="39" t="s">
        <v>213</v>
      </c>
      <c r="E13" s="8" t="s">
        <v>214</v>
      </c>
      <c r="F13" s="5" t="s">
        <v>215</v>
      </c>
    </row>
    <row r="14" customFormat="false" ht="15" hidden="false" customHeight="false" outlineLevel="0" collapsed="false">
      <c r="B14" s="16" t="s">
        <v>216</v>
      </c>
      <c r="C14" s="54" t="n">
        <f aca="false">SUM(C6:C13)</f>
        <v>758</v>
      </c>
      <c r="D14" s="39" t="s">
        <v>217</v>
      </c>
      <c r="E14" s="55" t="n">
        <f aca="false">SUMIF(D6:D13,"●*",C6:C13)+SUMIF(D6:D13,"◐*",C6:C13)</f>
        <v>498</v>
      </c>
      <c r="F14" s="38" t="s">
        <v>218</v>
      </c>
    </row>
    <row r="16" customFormat="false" ht="164.9" hidden="false" customHeight="false" outlineLevel="0" collapsed="false">
      <c r="A16" s="51" t="s">
        <v>219</v>
      </c>
    </row>
    <row r="17" customFormat="false" ht="15" hidden="false" customHeight="false" outlineLevel="0" collapsed="false">
      <c r="A17" s="26" t="s">
        <v>191</v>
      </c>
      <c r="B17" s="26" t="s">
        <v>220</v>
      </c>
      <c r="C17" s="4" t="s">
        <v>221</v>
      </c>
      <c r="D17" s="4" t="s">
        <v>222</v>
      </c>
      <c r="E17" s="4" t="s">
        <v>223</v>
      </c>
      <c r="F17" s="26" t="s">
        <v>224</v>
      </c>
    </row>
    <row r="18" customFormat="false" ht="15" hidden="false" customHeight="false" outlineLevel="0" collapsed="false">
      <c r="A18" s="48" t="n">
        <v>1</v>
      </c>
      <c r="B18" s="5" t="s">
        <v>210</v>
      </c>
      <c r="C18" s="56" t="s">
        <v>225</v>
      </c>
      <c r="D18" s="35" t="s">
        <v>226</v>
      </c>
      <c r="E18" s="48" t="s">
        <v>227</v>
      </c>
      <c r="F18" s="8" t="s">
        <v>228</v>
      </c>
    </row>
    <row r="19" customFormat="false" ht="15" hidden="false" customHeight="false" outlineLevel="0" collapsed="false">
      <c r="A19" s="56" t="n">
        <v>2</v>
      </c>
      <c r="B19" s="5" t="s">
        <v>229</v>
      </c>
      <c r="C19" s="56" t="s">
        <v>225</v>
      </c>
      <c r="D19" s="35" t="s">
        <v>226</v>
      </c>
      <c r="E19" s="48" t="s">
        <v>97</v>
      </c>
      <c r="F19" s="8" t="s">
        <v>230</v>
      </c>
    </row>
    <row r="20" customFormat="false" ht="26.85" hidden="false" customHeight="false" outlineLevel="0" collapsed="false">
      <c r="A20" s="56" t="n">
        <v>3</v>
      </c>
      <c r="B20" s="5" t="s">
        <v>231</v>
      </c>
      <c r="C20" s="56" t="s">
        <v>232</v>
      </c>
      <c r="D20" s="31" t="s">
        <v>233</v>
      </c>
      <c r="E20" s="48" t="s">
        <v>108</v>
      </c>
      <c r="F20" s="8" t="s">
        <v>234</v>
      </c>
    </row>
    <row r="21" customFormat="false" ht="15" hidden="false" customHeight="false" outlineLevel="0" collapsed="false">
      <c r="A21" s="56" t="n">
        <v>4</v>
      </c>
      <c r="B21" s="8" t="s">
        <v>235</v>
      </c>
      <c r="C21" s="56" t="s">
        <v>236</v>
      </c>
      <c r="D21" s="31" t="s">
        <v>233</v>
      </c>
      <c r="E21" s="48" t="s">
        <v>237</v>
      </c>
      <c r="F21" s="8" t="s">
        <v>238</v>
      </c>
    </row>
    <row r="22" customFormat="false" ht="15" hidden="false" customHeight="false" outlineLevel="0" collapsed="false">
      <c r="A22" s="56" t="n">
        <v>5</v>
      </c>
      <c r="B22" s="8" t="s">
        <v>239</v>
      </c>
      <c r="C22" s="56" t="s">
        <v>240</v>
      </c>
      <c r="D22" s="35" t="s">
        <v>241</v>
      </c>
      <c r="E22" s="48" t="s">
        <v>242</v>
      </c>
      <c r="F22" s="5" t="s">
        <v>243</v>
      </c>
    </row>
    <row r="23" customFormat="false" ht="26.85" hidden="false" customHeight="false" outlineLevel="0" collapsed="false">
      <c r="A23" s="56" t="n">
        <v>6</v>
      </c>
      <c r="B23" s="8" t="s">
        <v>244</v>
      </c>
      <c r="C23" s="56" t="s">
        <v>245</v>
      </c>
      <c r="D23" s="39" t="s">
        <v>246</v>
      </c>
      <c r="E23" s="48" t="s">
        <v>68</v>
      </c>
      <c r="F23" s="5" t="s">
        <v>247</v>
      </c>
    </row>
    <row r="24" customFormat="false" ht="15" hidden="false" customHeight="false" outlineLevel="0" collapsed="false">
      <c r="A24" s="56" t="n">
        <v>7</v>
      </c>
      <c r="B24" s="5" t="s">
        <v>248</v>
      </c>
      <c r="C24" s="56" t="s">
        <v>249</v>
      </c>
      <c r="D24" s="35" t="s">
        <v>241</v>
      </c>
      <c r="E24" s="48" t="s">
        <v>138</v>
      </c>
      <c r="F24" s="8" t="s">
        <v>250</v>
      </c>
    </row>
    <row r="25" customFormat="false" ht="15" hidden="false" customHeight="false" outlineLevel="0" collapsed="false">
      <c r="A25" s="56" t="n">
        <v>8</v>
      </c>
      <c r="B25" s="5" t="s">
        <v>251</v>
      </c>
      <c r="C25" s="56" t="s">
        <v>249</v>
      </c>
      <c r="D25" s="31" t="s">
        <v>233</v>
      </c>
      <c r="E25" s="48" t="s">
        <v>252</v>
      </c>
      <c r="F25" s="8" t="s">
        <v>253</v>
      </c>
    </row>
    <row r="26" customFormat="false" ht="26.85" hidden="false" customHeight="false" outlineLevel="0" collapsed="false">
      <c r="A26" s="56" t="n">
        <v>9</v>
      </c>
      <c r="B26" s="8" t="s">
        <v>254</v>
      </c>
      <c r="C26" s="48" t="s">
        <v>255</v>
      </c>
      <c r="D26" s="31" t="s">
        <v>256</v>
      </c>
      <c r="E26" s="56" t="s">
        <v>257</v>
      </c>
      <c r="F26" s="5" t="s">
        <v>258</v>
      </c>
    </row>
    <row r="27" customFormat="false" ht="26.85" hidden="false" customHeight="false" outlineLevel="0" collapsed="false">
      <c r="A27" s="56" t="n">
        <v>10</v>
      </c>
      <c r="B27" s="5" t="s">
        <v>259</v>
      </c>
      <c r="C27" s="56" t="s">
        <v>236</v>
      </c>
      <c r="D27" s="53" t="s">
        <v>260</v>
      </c>
      <c r="E27" s="48" t="s">
        <v>67</v>
      </c>
      <c r="F27" s="5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44"/>
  </cols>
  <sheetData>
    <row r="1" customFormat="false" ht="17.3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263</v>
      </c>
    </row>
    <row r="4" customFormat="false" ht="26.85" hidden="false" customHeight="false" outlineLevel="0" collapsed="false">
      <c r="A4" s="4" t="s">
        <v>22</v>
      </c>
      <c r="B4" s="4" t="s">
        <v>56</v>
      </c>
      <c r="C4" s="4" t="s">
        <v>57</v>
      </c>
      <c r="D4" s="4" t="s">
        <v>264</v>
      </c>
      <c r="E4" s="4" t="s">
        <v>61</v>
      </c>
      <c r="F4" s="4" t="s">
        <v>265</v>
      </c>
      <c r="G4" s="4" t="s">
        <v>266</v>
      </c>
      <c r="H4" s="4" t="s">
        <v>267</v>
      </c>
      <c r="I4" s="4" t="s">
        <v>268</v>
      </c>
      <c r="J4" s="4" t="s">
        <v>24</v>
      </c>
      <c r="K4" s="26" t="s">
        <v>269</v>
      </c>
      <c r="L4" s="4" t="s">
        <v>270</v>
      </c>
    </row>
    <row r="5" customFormat="false" ht="26.85" hidden="false" customHeight="false" outlineLevel="0" collapsed="false">
      <c r="A5" s="57" t="s">
        <v>62</v>
      </c>
      <c r="B5" s="58"/>
      <c r="C5" s="59" t="s">
        <v>63</v>
      </c>
      <c r="D5" s="58"/>
      <c r="E5" s="58"/>
      <c r="F5" s="58"/>
      <c r="G5" s="60" t="n">
        <f aca="false">SUMIFS(G6:G18,F6:F18,"인건비")</f>
        <v>10</v>
      </c>
      <c r="H5" s="61" t="s">
        <v>271</v>
      </c>
      <c r="I5" s="58"/>
      <c r="J5" s="62" t="n">
        <f aca="false">SUM(J6:J18)</f>
        <v>197.6989468708</v>
      </c>
      <c r="K5" s="58"/>
      <c r="L5" s="58"/>
    </row>
    <row r="6" customFormat="false" ht="26.85" hidden="false" customHeight="false" outlineLevel="0" collapsed="false">
      <c r="A6" s="56" t="s">
        <v>272</v>
      </c>
      <c r="B6" s="48" t="s">
        <v>64</v>
      </c>
      <c r="C6" s="8" t="s">
        <v>65</v>
      </c>
      <c r="D6" s="8" t="s">
        <v>273</v>
      </c>
      <c r="E6" s="63" t="s">
        <v>40</v>
      </c>
      <c r="F6" s="56" t="s">
        <v>274</v>
      </c>
      <c r="G6" s="64" t="n">
        <v>1</v>
      </c>
      <c r="H6" s="48" t="s">
        <v>271</v>
      </c>
      <c r="I6" s="65" t="n">
        <f aca="false">'0.개요'!$B$13</f>
        <v>18.31989468708</v>
      </c>
      <c r="J6" s="66" t="n">
        <f aca="false">G6*I6</f>
        <v>18.31989468708</v>
      </c>
      <c r="K6" s="8" t="s">
        <v>275</v>
      </c>
      <c r="L6" s="8" t="s">
        <v>276</v>
      </c>
    </row>
    <row r="7" customFormat="false" ht="26.85" hidden="false" customHeight="false" outlineLevel="0" collapsed="false">
      <c r="A7" s="56" t="s">
        <v>272</v>
      </c>
      <c r="B7" s="48" t="s">
        <v>64</v>
      </c>
      <c r="C7" s="8" t="s">
        <v>65</v>
      </c>
      <c r="D7" s="8" t="s">
        <v>277</v>
      </c>
      <c r="E7" s="63" t="s">
        <v>40</v>
      </c>
      <c r="F7" s="56" t="s">
        <v>274</v>
      </c>
      <c r="G7" s="64" t="n">
        <v>1</v>
      </c>
      <c r="H7" s="48" t="s">
        <v>271</v>
      </c>
      <c r="I7" s="65" t="n">
        <f aca="false">'0.개요'!$B$13</f>
        <v>18.31989468708</v>
      </c>
      <c r="J7" s="66" t="n">
        <f aca="false">G7*I7</f>
        <v>18.31989468708</v>
      </c>
      <c r="K7" s="8" t="s">
        <v>275</v>
      </c>
      <c r="L7" s="8" t="s">
        <v>278</v>
      </c>
    </row>
    <row r="8" customFormat="false" ht="26.85" hidden="false" customHeight="false" outlineLevel="0" collapsed="false">
      <c r="A8" s="56" t="s">
        <v>272</v>
      </c>
      <c r="B8" s="48" t="s">
        <v>68</v>
      </c>
      <c r="C8" s="8" t="s">
        <v>69</v>
      </c>
      <c r="D8" s="8" t="s">
        <v>279</v>
      </c>
      <c r="E8" s="67" t="s">
        <v>36</v>
      </c>
      <c r="F8" s="56" t="s">
        <v>274</v>
      </c>
      <c r="G8" s="64" t="n">
        <v>1</v>
      </c>
      <c r="H8" s="48" t="s">
        <v>271</v>
      </c>
      <c r="I8" s="65" t="n">
        <f aca="false">'0.개요'!$B$13</f>
        <v>18.31989468708</v>
      </c>
      <c r="J8" s="66" t="n">
        <f aca="false">G8*I8</f>
        <v>18.31989468708</v>
      </c>
      <c r="K8" s="5" t="s">
        <v>71</v>
      </c>
      <c r="L8" s="5" t="s">
        <v>280</v>
      </c>
    </row>
    <row r="9" customFormat="false" ht="26.85" hidden="false" customHeight="false" outlineLevel="0" collapsed="false">
      <c r="A9" s="56" t="s">
        <v>272</v>
      </c>
      <c r="B9" s="48" t="s">
        <v>68</v>
      </c>
      <c r="C9" s="8" t="s">
        <v>69</v>
      </c>
      <c r="D9" s="8" t="s">
        <v>281</v>
      </c>
      <c r="E9" s="67" t="s">
        <v>36</v>
      </c>
      <c r="F9" s="56" t="s">
        <v>274</v>
      </c>
      <c r="G9" s="64" t="n">
        <v>1.5</v>
      </c>
      <c r="H9" s="48" t="s">
        <v>271</v>
      </c>
      <c r="I9" s="65" t="n">
        <f aca="false">'0.개요'!$B$13</f>
        <v>18.31989468708</v>
      </c>
      <c r="J9" s="66" t="n">
        <f aca="false">G9*I9</f>
        <v>27.47984203062</v>
      </c>
      <c r="K9" s="5" t="s">
        <v>71</v>
      </c>
      <c r="L9" s="5"/>
    </row>
    <row r="10" customFormat="false" ht="26.85" hidden="false" customHeight="false" outlineLevel="0" collapsed="false">
      <c r="A10" s="56" t="s">
        <v>272</v>
      </c>
      <c r="B10" s="48" t="s">
        <v>68</v>
      </c>
      <c r="C10" s="8" t="s">
        <v>69</v>
      </c>
      <c r="D10" s="5" t="s">
        <v>282</v>
      </c>
      <c r="E10" s="67" t="s">
        <v>36</v>
      </c>
      <c r="F10" s="48" t="s">
        <v>283</v>
      </c>
      <c r="G10" s="64" t="n">
        <v>1</v>
      </c>
      <c r="H10" s="56" t="s">
        <v>284</v>
      </c>
      <c r="I10" s="64" t="n">
        <v>14.5</v>
      </c>
      <c r="J10" s="66" t="n">
        <f aca="false">G10*I10</f>
        <v>14.5</v>
      </c>
      <c r="K10" s="5" t="s">
        <v>210</v>
      </c>
      <c r="L10" s="5" t="s">
        <v>285</v>
      </c>
    </row>
    <row r="11" customFormat="false" ht="26.85" hidden="false" customHeight="false" outlineLevel="0" collapsed="false">
      <c r="A11" s="56" t="s">
        <v>272</v>
      </c>
      <c r="B11" s="48" t="s">
        <v>73</v>
      </c>
      <c r="C11" s="8" t="s">
        <v>74</v>
      </c>
      <c r="D11" s="8" t="s">
        <v>286</v>
      </c>
      <c r="E11" s="67" t="s">
        <v>36</v>
      </c>
      <c r="F11" s="56" t="s">
        <v>274</v>
      </c>
      <c r="G11" s="64" t="n">
        <v>0.5</v>
      </c>
      <c r="H11" s="48" t="s">
        <v>271</v>
      </c>
      <c r="I11" s="65" t="n">
        <f aca="false">'0.개요'!$B$13</f>
        <v>18.31989468708</v>
      </c>
      <c r="J11" s="66" t="n">
        <f aca="false">G11*I11</f>
        <v>9.15994734354</v>
      </c>
      <c r="K11" s="5" t="s">
        <v>71</v>
      </c>
      <c r="L11" s="8" t="s">
        <v>287</v>
      </c>
    </row>
    <row r="12" customFormat="false" ht="26.85" hidden="false" customHeight="false" outlineLevel="0" collapsed="false">
      <c r="A12" s="56" t="s">
        <v>272</v>
      </c>
      <c r="B12" s="48" t="s">
        <v>73</v>
      </c>
      <c r="C12" s="8" t="s">
        <v>74</v>
      </c>
      <c r="D12" s="8" t="s">
        <v>288</v>
      </c>
      <c r="E12" s="67" t="s">
        <v>36</v>
      </c>
      <c r="F12" s="56" t="s">
        <v>274</v>
      </c>
      <c r="G12" s="64" t="n">
        <v>1.5</v>
      </c>
      <c r="H12" s="48" t="s">
        <v>271</v>
      </c>
      <c r="I12" s="65" t="n">
        <f aca="false">'0.개요'!$B$13</f>
        <v>18.31989468708</v>
      </c>
      <c r="J12" s="66" t="n">
        <f aca="false">G12*I12</f>
        <v>27.47984203062</v>
      </c>
      <c r="K12" s="5" t="s">
        <v>71</v>
      </c>
      <c r="L12" s="5"/>
    </row>
    <row r="13" customFormat="false" ht="26.85" hidden="false" customHeight="false" outlineLevel="0" collapsed="false">
      <c r="A13" s="56" t="s">
        <v>272</v>
      </c>
      <c r="B13" s="48" t="s">
        <v>76</v>
      </c>
      <c r="C13" s="8" t="s">
        <v>77</v>
      </c>
      <c r="D13" s="8" t="s">
        <v>289</v>
      </c>
      <c r="E13" s="67" t="s">
        <v>36</v>
      </c>
      <c r="F13" s="56" t="s">
        <v>274</v>
      </c>
      <c r="G13" s="64" t="n">
        <v>1</v>
      </c>
      <c r="H13" s="48" t="s">
        <v>271</v>
      </c>
      <c r="I13" s="65" t="n">
        <f aca="false">'0.개요'!$B$13</f>
        <v>18.31989468708</v>
      </c>
      <c r="J13" s="66" t="n">
        <f aca="false">G13*I13</f>
        <v>18.31989468708</v>
      </c>
      <c r="K13" s="8" t="s">
        <v>78</v>
      </c>
      <c r="L13" s="5" t="s">
        <v>290</v>
      </c>
    </row>
    <row r="14" customFormat="false" ht="26.85" hidden="false" customHeight="false" outlineLevel="0" collapsed="false">
      <c r="A14" s="56" t="s">
        <v>272</v>
      </c>
      <c r="B14" s="48" t="s">
        <v>76</v>
      </c>
      <c r="C14" s="8" t="s">
        <v>77</v>
      </c>
      <c r="D14" s="8" t="s">
        <v>291</v>
      </c>
      <c r="E14" s="67" t="s">
        <v>36</v>
      </c>
      <c r="F14" s="56" t="s">
        <v>274</v>
      </c>
      <c r="G14" s="64" t="n">
        <v>0.5</v>
      </c>
      <c r="H14" s="48" t="s">
        <v>271</v>
      </c>
      <c r="I14" s="65" t="n">
        <f aca="false">'0.개요'!$B$13</f>
        <v>18.31989468708</v>
      </c>
      <c r="J14" s="66" t="n">
        <f aca="false">G14*I14</f>
        <v>9.15994734354</v>
      </c>
      <c r="K14" s="8" t="s">
        <v>78</v>
      </c>
      <c r="L14" s="8" t="s">
        <v>292</v>
      </c>
    </row>
    <row r="15" customFormat="false" ht="15" hidden="false" customHeight="false" outlineLevel="0" collapsed="false">
      <c r="A15" s="56" t="s">
        <v>272</v>
      </c>
      <c r="B15" s="48" t="s">
        <v>80</v>
      </c>
      <c r="C15" s="8" t="s">
        <v>81</v>
      </c>
      <c r="D15" s="8" t="s">
        <v>293</v>
      </c>
      <c r="E15" s="67" t="s">
        <v>36</v>
      </c>
      <c r="F15" s="56" t="s">
        <v>274</v>
      </c>
      <c r="G15" s="64" t="n">
        <v>0.5</v>
      </c>
      <c r="H15" s="48" t="s">
        <v>271</v>
      </c>
      <c r="I15" s="65" t="n">
        <f aca="false">'0.개요'!$B$13</f>
        <v>18.31989468708</v>
      </c>
      <c r="J15" s="66" t="n">
        <f aca="false">G15*I15</f>
        <v>9.15994734354</v>
      </c>
      <c r="K15" s="8" t="s">
        <v>78</v>
      </c>
      <c r="L15" s="5"/>
    </row>
    <row r="16" customFormat="false" ht="26.85" hidden="false" customHeight="false" outlineLevel="0" collapsed="false">
      <c r="A16" s="56" t="s">
        <v>272</v>
      </c>
      <c r="B16" s="48" t="s">
        <v>80</v>
      </c>
      <c r="C16" s="8" t="s">
        <v>81</v>
      </c>
      <c r="D16" s="8" t="s">
        <v>294</v>
      </c>
      <c r="E16" s="67" t="s">
        <v>36</v>
      </c>
      <c r="F16" s="56" t="s">
        <v>274</v>
      </c>
      <c r="G16" s="64" t="n">
        <v>0.5</v>
      </c>
      <c r="H16" s="48" t="s">
        <v>271</v>
      </c>
      <c r="I16" s="65" t="n">
        <f aca="false">'0.개요'!$B$13</f>
        <v>18.31989468708</v>
      </c>
      <c r="J16" s="66" t="n">
        <f aca="false">G16*I16</f>
        <v>9.15994734354</v>
      </c>
      <c r="K16" s="5" t="s">
        <v>71</v>
      </c>
      <c r="L16" s="5"/>
    </row>
    <row r="17" customFormat="false" ht="15" hidden="false" customHeight="false" outlineLevel="0" collapsed="false">
      <c r="A17" s="56" t="s">
        <v>272</v>
      </c>
      <c r="B17" s="48" t="s">
        <v>83</v>
      </c>
      <c r="C17" s="5" t="s">
        <v>295</v>
      </c>
      <c r="D17" s="5" t="s">
        <v>296</v>
      </c>
      <c r="E17" s="63" t="s">
        <v>40</v>
      </c>
      <c r="F17" s="56" t="s">
        <v>274</v>
      </c>
      <c r="G17" s="64" t="n">
        <v>0.5</v>
      </c>
      <c r="H17" s="48" t="s">
        <v>271</v>
      </c>
      <c r="I17" s="65" t="n">
        <f aca="false">'0.개요'!$B$13</f>
        <v>18.31989468708</v>
      </c>
      <c r="J17" s="66" t="n">
        <f aca="false">G17*I17</f>
        <v>9.15994734354</v>
      </c>
      <c r="K17" s="8" t="s">
        <v>275</v>
      </c>
      <c r="L17" s="5"/>
    </row>
    <row r="18" customFormat="false" ht="26.85" hidden="false" customHeight="false" outlineLevel="0" collapsed="false">
      <c r="A18" s="56" t="s">
        <v>272</v>
      </c>
      <c r="B18" s="48" t="s">
        <v>86</v>
      </c>
      <c r="C18" s="8" t="s">
        <v>87</v>
      </c>
      <c r="D18" s="8" t="s">
        <v>297</v>
      </c>
      <c r="E18" s="68" t="s">
        <v>186</v>
      </c>
      <c r="F18" s="56" t="s">
        <v>274</v>
      </c>
      <c r="G18" s="64" t="n">
        <v>0.5</v>
      </c>
      <c r="H18" s="48" t="s">
        <v>271</v>
      </c>
      <c r="I18" s="65" t="n">
        <f aca="false">'0.개요'!$B$13</f>
        <v>18.31989468708</v>
      </c>
      <c r="J18" s="66" t="n">
        <f aca="false">G18*I18</f>
        <v>9.15994734354</v>
      </c>
      <c r="K18" s="8" t="s">
        <v>78</v>
      </c>
      <c r="L18" s="8" t="s">
        <v>298</v>
      </c>
    </row>
    <row r="19" customFormat="false" ht="26.85" hidden="false" customHeight="false" outlineLevel="0" collapsed="false">
      <c r="A19" s="57" t="s">
        <v>90</v>
      </c>
      <c r="B19" s="58"/>
      <c r="C19" s="59" t="s">
        <v>91</v>
      </c>
      <c r="D19" s="58"/>
      <c r="E19" s="58"/>
      <c r="F19" s="58"/>
      <c r="G19" s="60" t="n">
        <f aca="false">SUMIFS(G20:G30,F20:F30,"인건비")</f>
        <v>5.5</v>
      </c>
      <c r="H19" s="61" t="s">
        <v>271</v>
      </c>
      <c r="I19" s="58"/>
      <c r="J19" s="62" t="n">
        <f aca="false">SUM(J20:J30)</f>
        <v>150.75942077894</v>
      </c>
      <c r="K19" s="58"/>
      <c r="L19" s="58"/>
    </row>
    <row r="20" customFormat="false" ht="26.85" hidden="false" customHeight="false" outlineLevel="0" collapsed="false">
      <c r="A20" s="56" t="s">
        <v>299</v>
      </c>
      <c r="B20" s="48" t="s">
        <v>92</v>
      </c>
      <c r="C20" s="8" t="s">
        <v>93</v>
      </c>
      <c r="D20" s="8" t="s">
        <v>300</v>
      </c>
      <c r="E20" s="68" t="s">
        <v>186</v>
      </c>
      <c r="F20" s="56" t="s">
        <v>274</v>
      </c>
      <c r="G20" s="64" t="n">
        <v>1</v>
      </c>
      <c r="H20" s="48" t="s">
        <v>271</v>
      </c>
      <c r="I20" s="65" t="n">
        <f aca="false">'0.개요'!$B$13</f>
        <v>18.31989468708</v>
      </c>
      <c r="J20" s="66" t="n">
        <f aca="false">G20*I20</f>
        <v>18.31989468708</v>
      </c>
      <c r="K20" s="8" t="s">
        <v>95</v>
      </c>
      <c r="L20" s="5" t="s">
        <v>301</v>
      </c>
    </row>
    <row r="21" customFormat="false" ht="26.85" hidden="false" customHeight="false" outlineLevel="0" collapsed="false">
      <c r="A21" s="56" t="s">
        <v>299</v>
      </c>
      <c r="B21" s="48" t="s">
        <v>97</v>
      </c>
      <c r="C21" s="8" t="s">
        <v>98</v>
      </c>
      <c r="D21" s="5" t="s">
        <v>302</v>
      </c>
      <c r="E21" s="68" t="s">
        <v>186</v>
      </c>
      <c r="F21" s="56" t="s">
        <v>274</v>
      </c>
      <c r="G21" s="64" t="n">
        <v>0.5</v>
      </c>
      <c r="H21" s="48" t="s">
        <v>271</v>
      </c>
      <c r="I21" s="65" t="n">
        <f aca="false">'0.개요'!$B$13</f>
        <v>18.31989468708</v>
      </c>
      <c r="J21" s="66" t="n">
        <f aca="false">G21*I21</f>
        <v>9.15994734354</v>
      </c>
      <c r="K21" s="5" t="s">
        <v>100</v>
      </c>
      <c r="L21" s="5"/>
    </row>
    <row r="22" customFormat="false" ht="26.85" hidden="false" customHeight="false" outlineLevel="0" collapsed="false">
      <c r="A22" s="56" t="s">
        <v>299</v>
      </c>
      <c r="B22" s="48" t="s">
        <v>97</v>
      </c>
      <c r="C22" s="8" t="s">
        <v>98</v>
      </c>
      <c r="D22" s="5" t="s">
        <v>303</v>
      </c>
      <c r="E22" s="68" t="s">
        <v>186</v>
      </c>
      <c r="F22" s="48" t="s">
        <v>283</v>
      </c>
      <c r="G22" s="64" t="n">
        <v>1</v>
      </c>
      <c r="H22" s="56" t="s">
        <v>284</v>
      </c>
      <c r="I22" s="64" t="n">
        <v>20</v>
      </c>
      <c r="J22" s="66" t="n">
        <f aca="false">G22*I22</f>
        <v>20</v>
      </c>
      <c r="K22" s="5" t="s">
        <v>100</v>
      </c>
      <c r="L22" s="5" t="s">
        <v>304</v>
      </c>
    </row>
    <row r="23" customFormat="false" ht="15" hidden="false" customHeight="false" outlineLevel="0" collapsed="false">
      <c r="A23" s="56" t="s">
        <v>299</v>
      </c>
      <c r="B23" s="48" t="s">
        <v>102</v>
      </c>
      <c r="C23" s="8" t="s">
        <v>103</v>
      </c>
      <c r="D23" s="8" t="s">
        <v>305</v>
      </c>
      <c r="E23" s="67" t="s">
        <v>36</v>
      </c>
      <c r="F23" s="56" t="s">
        <v>274</v>
      </c>
      <c r="G23" s="64" t="n">
        <v>0.5</v>
      </c>
      <c r="H23" s="48" t="s">
        <v>271</v>
      </c>
      <c r="I23" s="65" t="n">
        <f aca="false">'0.개요'!$B$13</f>
        <v>18.31989468708</v>
      </c>
      <c r="J23" s="66" t="n">
        <f aca="false">G23*I23</f>
        <v>9.15994734354</v>
      </c>
      <c r="K23" s="8" t="s">
        <v>95</v>
      </c>
      <c r="L23" s="5"/>
    </row>
    <row r="24" customFormat="false" ht="15" hidden="false" customHeight="false" outlineLevel="0" collapsed="false">
      <c r="A24" s="56" t="s">
        <v>299</v>
      </c>
      <c r="B24" s="48" t="s">
        <v>102</v>
      </c>
      <c r="C24" s="8" t="s">
        <v>103</v>
      </c>
      <c r="D24" s="8" t="s">
        <v>306</v>
      </c>
      <c r="E24" s="67" t="s">
        <v>36</v>
      </c>
      <c r="F24" s="56" t="s">
        <v>274</v>
      </c>
      <c r="G24" s="64" t="n">
        <v>1</v>
      </c>
      <c r="H24" s="48" t="s">
        <v>271</v>
      </c>
      <c r="I24" s="65" t="n">
        <f aca="false">'0.개요'!$B$13</f>
        <v>18.31989468708</v>
      </c>
      <c r="J24" s="66" t="n">
        <f aca="false">G24*I24</f>
        <v>18.31989468708</v>
      </c>
      <c r="K24" s="8" t="s">
        <v>95</v>
      </c>
      <c r="L24" s="5"/>
    </row>
    <row r="25" customFormat="false" ht="15" hidden="false" customHeight="false" outlineLevel="0" collapsed="false">
      <c r="A25" s="56" t="s">
        <v>299</v>
      </c>
      <c r="B25" s="48" t="s">
        <v>105</v>
      </c>
      <c r="C25" s="8" t="s">
        <v>106</v>
      </c>
      <c r="D25" s="8" t="s">
        <v>307</v>
      </c>
      <c r="E25" s="67" t="s">
        <v>36</v>
      </c>
      <c r="F25" s="56" t="s">
        <v>274</v>
      </c>
      <c r="G25" s="64" t="n">
        <v>0.5</v>
      </c>
      <c r="H25" s="48" t="s">
        <v>271</v>
      </c>
      <c r="I25" s="65" t="n">
        <f aca="false">'0.개요'!$B$13</f>
        <v>18.31989468708</v>
      </c>
      <c r="J25" s="66" t="n">
        <f aca="false">G25*I25</f>
        <v>9.15994734354</v>
      </c>
      <c r="K25" s="8" t="s">
        <v>95</v>
      </c>
      <c r="L25" s="5"/>
    </row>
    <row r="26" customFormat="false" ht="26.85" hidden="false" customHeight="false" outlineLevel="0" collapsed="false">
      <c r="A26" s="56" t="s">
        <v>299</v>
      </c>
      <c r="B26" s="48" t="s">
        <v>105</v>
      </c>
      <c r="C26" s="8" t="s">
        <v>106</v>
      </c>
      <c r="D26" s="8" t="s">
        <v>308</v>
      </c>
      <c r="E26" s="67" t="s">
        <v>36</v>
      </c>
      <c r="F26" s="56" t="s">
        <v>274</v>
      </c>
      <c r="G26" s="64" t="n">
        <v>0.5</v>
      </c>
      <c r="H26" s="48" t="s">
        <v>271</v>
      </c>
      <c r="I26" s="65" t="n">
        <f aca="false">'0.개요'!$B$13</f>
        <v>18.31989468708</v>
      </c>
      <c r="J26" s="66" t="n">
        <f aca="false">G26*I26</f>
        <v>9.15994734354</v>
      </c>
      <c r="K26" s="8" t="s">
        <v>95</v>
      </c>
      <c r="L26" s="8" t="s">
        <v>309</v>
      </c>
    </row>
    <row r="27" customFormat="false" ht="15" hidden="false" customHeight="false" outlineLevel="0" collapsed="false">
      <c r="A27" s="56" t="s">
        <v>299</v>
      </c>
      <c r="B27" s="48" t="s">
        <v>108</v>
      </c>
      <c r="C27" s="8" t="s">
        <v>310</v>
      </c>
      <c r="D27" s="5" t="s">
        <v>311</v>
      </c>
      <c r="E27" s="63" t="s">
        <v>40</v>
      </c>
      <c r="F27" s="56" t="s">
        <v>274</v>
      </c>
      <c r="G27" s="64" t="n">
        <v>0.5</v>
      </c>
      <c r="H27" s="48" t="s">
        <v>271</v>
      </c>
      <c r="I27" s="65" t="n">
        <f aca="false">'0.개요'!$B$13</f>
        <v>18.31989468708</v>
      </c>
      <c r="J27" s="66" t="n">
        <f aca="false">G27*I27</f>
        <v>9.15994734354</v>
      </c>
      <c r="K27" s="8" t="s">
        <v>275</v>
      </c>
      <c r="L27" s="5"/>
    </row>
    <row r="28" customFormat="false" ht="15" hidden="false" customHeight="false" outlineLevel="0" collapsed="false">
      <c r="A28" s="56" t="s">
        <v>299</v>
      </c>
      <c r="B28" s="48" t="s">
        <v>108</v>
      </c>
      <c r="C28" s="8" t="s">
        <v>310</v>
      </c>
      <c r="D28" s="8" t="s">
        <v>312</v>
      </c>
      <c r="E28" s="63" t="s">
        <v>40</v>
      </c>
      <c r="F28" s="56" t="s">
        <v>274</v>
      </c>
      <c r="G28" s="64" t="n">
        <v>0.5</v>
      </c>
      <c r="H28" s="48" t="s">
        <v>271</v>
      </c>
      <c r="I28" s="65" t="n">
        <f aca="false">'0.개요'!$B$13</f>
        <v>18.31989468708</v>
      </c>
      <c r="J28" s="66" t="n">
        <f aca="false">G28*I28</f>
        <v>9.15994734354</v>
      </c>
      <c r="K28" s="8" t="s">
        <v>275</v>
      </c>
      <c r="L28" s="5"/>
    </row>
    <row r="29" customFormat="false" ht="15" hidden="false" customHeight="false" outlineLevel="0" collapsed="false">
      <c r="A29" s="56" t="s">
        <v>299</v>
      </c>
      <c r="B29" s="48" t="s">
        <v>108</v>
      </c>
      <c r="C29" s="8" t="s">
        <v>310</v>
      </c>
      <c r="D29" s="5" t="s">
        <v>313</v>
      </c>
      <c r="E29" s="63" t="s">
        <v>40</v>
      </c>
      <c r="F29" s="48" t="s">
        <v>283</v>
      </c>
      <c r="G29" s="64" t="n">
        <v>1</v>
      </c>
      <c r="H29" s="56" t="s">
        <v>284</v>
      </c>
      <c r="I29" s="64" t="n">
        <v>30</v>
      </c>
      <c r="J29" s="66" t="n">
        <f aca="false">G29*I29</f>
        <v>30</v>
      </c>
      <c r="K29" s="8" t="s">
        <v>275</v>
      </c>
      <c r="L29" s="8" t="s">
        <v>314</v>
      </c>
    </row>
    <row r="30" customFormat="false" ht="15" hidden="false" customHeight="false" outlineLevel="0" collapsed="false">
      <c r="A30" s="56" t="s">
        <v>299</v>
      </c>
      <c r="B30" s="48" t="s">
        <v>111</v>
      </c>
      <c r="C30" s="8" t="s">
        <v>112</v>
      </c>
      <c r="D30" s="8" t="s">
        <v>315</v>
      </c>
      <c r="E30" s="63" t="s">
        <v>40</v>
      </c>
      <c r="F30" s="56" t="s">
        <v>274</v>
      </c>
      <c r="G30" s="64" t="n">
        <v>0.5</v>
      </c>
      <c r="H30" s="48" t="s">
        <v>271</v>
      </c>
      <c r="I30" s="65" t="n">
        <f aca="false">'0.개요'!$B$13</f>
        <v>18.31989468708</v>
      </c>
      <c r="J30" s="66" t="n">
        <f aca="false">G30*I30</f>
        <v>9.15994734354</v>
      </c>
      <c r="K30" s="8" t="s">
        <v>275</v>
      </c>
      <c r="L30" s="8" t="s">
        <v>316</v>
      </c>
    </row>
    <row r="31" customFormat="false" ht="26.85" hidden="false" customHeight="false" outlineLevel="0" collapsed="false">
      <c r="A31" s="57" t="s">
        <v>114</v>
      </c>
      <c r="B31" s="58"/>
      <c r="C31" s="59" t="s">
        <v>115</v>
      </c>
      <c r="D31" s="58"/>
      <c r="E31" s="58"/>
      <c r="F31" s="58"/>
      <c r="G31" s="60" t="n">
        <f aca="false">SUMIFS(G32:G42,F32:F42,"인건비")</f>
        <v>7.5</v>
      </c>
      <c r="H31" s="61" t="s">
        <v>271</v>
      </c>
      <c r="I31" s="58"/>
      <c r="J31" s="62" t="n">
        <f aca="false">SUM(J32:J42)</f>
        <v>137.3992101531</v>
      </c>
      <c r="K31" s="58"/>
      <c r="L31" s="58"/>
    </row>
    <row r="32" customFormat="false" ht="15" hidden="false" customHeight="false" outlineLevel="0" collapsed="false">
      <c r="A32" s="56" t="s">
        <v>257</v>
      </c>
      <c r="B32" s="48" t="s">
        <v>116</v>
      </c>
      <c r="C32" s="8" t="s">
        <v>317</v>
      </c>
      <c r="D32" s="8" t="s">
        <v>318</v>
      </c>
      <c r="E32" s="63" t="s">
        <v>40</v>
      </c>
      <c r="F32" s="56" t="s">
        <v>274</v>
      </c>
      <c r="G32" s="64" t="n">
        <v>1</v>
      </c>
      <c r="H32" s="48" t="s">
        <v>271</v>
      </c>
      <c r="I32" s="65" t="n">
        <f aca="false">'0.개요'!$B$13</f>
        <v>18.31989468708</v>
      </c>
      <c r="J32" s="66" t="n">
        <f aca="false">G32*I32</f>
        <v>18.31989468708</v>
      </c>
      <c r="K32" s="8" t="s">
        <v>275</v>
      </c>
      <c r="L32" s="8" t="s">
        <v>319</v>
      </c>
    </row>
    <row r="33" customFormat="false" ht="15" hidden="false" customHeight="false" outlineLevel="0" collapsed="false">
      <c r="A33" s="56" t="s">
        <v>257</v>
      </c>
      <c r="B33" s="48" t="s">
        <v>116</v>
      </c>
      <c r="C33" s="8" t="s">
        <v>317</v>
      </c>
      <c r="D33" s="8" t="s">
        <v>320</v>
      </c>
      <c r="E33" s="63" t="s">
        <v>40</v>
      </c>
      <c r="F33" s="56" t="s">
        <v>274</v>
      </c>
      <c r="G33" s="64" t="n">
        <v>0.5</v>
      </c>
      <c r="H33" s="48" t="s">
        <v>271</v>
      </c>
      <c r="I33" s="65" t="n">
        <f aca="false">'0.개요'!$B$13</f>
        <v>18.31989468708</v>
      </c>
      <c r="J33" s="66" t="n">
        <f aca="false">G33*I33</f>
        <v>9.15994734354</v>
      </c>
      <c r="K33" s="8" t="s">
        <v>275</v>
      </c>
      <c r="L33" s="8" t="s">
        <v>321</v>
      </c>
    </row>
    <row r="34" customFormat="false" ht="26.85" hidden="false" customHeight="false" outlineLevel="0" collapsed="false">
      <c r="A34" s="56" t="s">
        <v>257</v>
      </c>
      <c r="B34" s="48" t="s">
        <v>119</v>
      </c>
      <c r="C34" s="8" t="s">
        <v>322</v>
      </c>
      <c r="D34" s="8" t="s">
        <v>323</v>
      </c>
      <c r="E34" s="63" t="s">
        <v>40</v>
      </c>
      <c r="F34" s="56" t="s">
        <v>274</v>
      </c>
      <c r="G34" s="64" t="n">
        <v>1</v>
      </c>
      <c r="H34" s="48" t="s">
        <v>271</v>
      </c>
      <c r="I34" s="65" t="n">
        <f aca="false">'0.개요'!$B$13</f>
        <v>18.31989468708</v>
      </c>
      <c r="J34" s="66" t="n">
        <f aca="false">G34*I34</f>
        <v>18.31989468708</v>
      </c>
      <c r="K34" s="8" t="s">
        <v>275</v>
      </c>
      <c r="L34" s="8" t="s">
        <v>324</v>
      </c>
    </row>
    <row r="35" customFormat="false" ht="26.85" hidden="false" customHeight="false" outlineLevel="0" collapsed="false">
      <c r="A35" s="56" t="s">
        <v>257</v>
      </c>
      <c r="B35" s="48" t="s">
        <v>119</v>
      </c>
      <c r="C35" s="8" t="s">
        <v>322</v>
      </c>
      <c r="D35" s="8" t="s">
        <v>325</v>
      </c>
      <c r="E35" s="63" t="s">
        <v>40</v>
      </c>
      <c r="F35" s="56" t="s">
        <v>274</v>
      </c>
      <c r="G35" s="64" t="n">
        <v>0.5</v>
      </c>
      <c r="H35" s="48" t="s">
        <v>271</v>
      </c>
      <c r="I35" s="65" t="n">
        <f aca="false">'0.개요'!$B$13</f>
        <v>18.31989468708</v>
      </c>
      <c r="J35" s="66" t="n">
        <f aca="false">G35*I35</f>
        <v>9.15994734354</v>
      </c>
      <c r="K35" s="8" t="s">
        <v>275</v>
      </c>
      <c r="L35" s="5"/>
    </row>
    <row r="36" customFormat="false" ht="15" hidden="false" customHeight="false" outlineLevel="0" collapsed="false">
      <c r="A36" s="56" t="s">
        <v>257</v>
      </c>
      <c r="B36" s="48" t="s">
        <v>122</v>
      </c>
      <c r="C36" s="5" t="s">
        <v>326</v>
      </c>
      <c r="D36" s="8" t="s">
        <v>327</v>
      </c>
      <c r="E36" s="63" t="s">
        <v>40</v>
      </c>
      <c r="F36" s="56" t="s">
        <v>274</v>
      </c>
      <c r="G36" s="64" t="n">
        <v>1</v>
      </c>
      <c r="H36" s="48" t="s">
        <v>271</v>
      </c>
      <c r="I36" s="65" t="n">
        <f aca="false">'0.개요'!$B$13</f>
        <v>18.31989468708</v>
      </c>
      <c r="J36" s="66" t="n">
        <f aca="false">G36*I36</f>
        <v>18.31989468708</v>
      </c>
      <c r="K36" s="8" t="s">
        <v>275</v>
      </c>
      <c r="L36" s="5"/>
    </row>
    <row r="37" customFormat="false" ht="15" hidden="false" customHeight="false" outlineLevel="0" collapsed="false">
      <c r="A37" s="56" t="s">
        <v>257</v>
      </c>
      <c r="B37" s="48" t="s">
        <v>122</v>
      </c>
      <c r="C37" s="5" t="s">
        <v>326</v>
      </c>
      <c r="D37" s="8" t="s">
        <v>328</v>
      </c>
      <c r="E37" s="63" t="s">
        <v>40</v>
      </c>
      <c r="F37" s="56" t="s">
        <v>274</v>
      </c>
      <c r="G37" s="64" t="n">
        <v>0.5</v>
      </c>
      <c r="H37" s="48" t="s">
        <v>271</v>
      </c>
      <c r="I37" s="65" t="n">
        <f aca="false">'0.개요'!$B$13</f>
        <v>18.31989468708</v>
      </c>
      <c r="J37" s="66" t="n">
        <f aca="false">G37*I37</f>
        <v>9.15994734354</v>
      </c>
      <c r="K37" s="8" t="s">
        <v>275</v>
      </c>
      <c r="L37" s="5"/>
    </row>
    <row r="38" customFormat="false" ht="26.85" hidden="false" customHeight="false" outlineLevel="0" collapsed="false">
      <c r="A38" s="56" t="s">
        <v>257</v>
      </c>
      <c r="B38" s="48" t="s">
        <v>125</v>
      </c>
      <c r="C38" s="8" t="s">
        <v>126</v>
      </c>
      <c r="D38" s="8" t="s">
        <v>329</v>
      </c>
      <c r="E38" s="68" t="s">
        <v>186</v>
      </c>
      <c r="F38" s="56" t="s">
        <v>274</v>
      </c>
      <c r="G38" s="64" t="n">
        <v>0.5</v>
      </c>
      <c r="H38" s="48" t="s">
        <v>271</v>
      </c>
      <c r="I38" s="65" t="n">
        <f aca="false">'0.개요'!$B$13</f>
        <v>18.31989468708</v>
      </c>
      <c r="J38" s="66" t="n">
        <f aca="false">G38*I38</f>
        <v>9.15994734354</v>
      </c>
      <c r="K38" s="8" t="s">
        <v>275</v>
      </c>
      <c r="L38" s="5"/>
    </row>
    <row r="39" customFormat="false" ht="26.85" hidden="false" customHeight="false" outlineLevel="0" collapsed="false">
      <c r="A39" s="56" t="s">
        <v>257</v>
      </c>
      <c r="B39" s="48" t="s">
        <v>125</v>
      </c>
      <c r="C39" s="8" t="s">
        <v>126</v>
      </c>
      <c r="D39" s="5" t="s">
        <v>330</v>
      </c>
      <c r="E39" s="68" t="s">
        <v>186</v>
      </c>
      <c r="F39" s="56" t="s">
        <v>274</v>
      </c>
      <c r="G39" s="64" t="n">
        <v>1</v>
      </c>
      <c r="H39" s="48" t="s">
        <v>271</v>
      </c>
      <c r="I39" s="65" t="n">
        <f aca="false">'0.개요'!$B$13</f>
        <v>18.31989468708</v>
      </c>
      <c r="J39" s="66" t="n">
        <f aca="false">G39*I39</f>
        <v>18.31989468708</v>
      </c>
      <c r="K39" s="8" t="s">
        <v>128</v>
      </c>
      <c r="L39" s="5" t="s">
        <v>331</v>
      </c>
    </row>
    <row r="40" customFormat="false" ht="15" hidden="false" customHeight="false" outlineLevel="0" collapsed="false">
      <c r="A40" s="56" t="s">
        <v>257</v>
      </c>
      <c r="B40" s="48" t="s">
        <v>130</v>
      </c>
      <c r="C40" s="8" t="s">
        <v>332</v>
      </c>
      <c r="D40" s="8" t="s">
        <v>333</v>
      </c>
      <c r="E40" s="63" t="s">
        <v>40</v>
      </c>
      <c r="F40" s="56" t="s">
        <v>274</v>
      </c>
      <c r="G40" s="64" t="n">
        <v>0.5</v>
      </c>
      <c r="H40" s="48" t="s">
        <v>271</v>
      </c>
      <c r="I40" s="65" t="n">
        <f aca="false">'0.개요'!$B$13</f>
        <v>18.31989468708</v>
      </c>
      <c r="J40" s="66" t="n">
        <f aca="false">G40*I40</f>
        <v>9.15994734354</v>
      </c>
      <c r="K40" s="8" t="s">
        <v>275</v>
      </c>
      <c r="L40" s="5"/>
    </row>
    <row r="41" customFormat="false" ht="15" hidden="false" customHeight="false" outlineLevel="0" collapsed="false">
      <c r="A41" s="56" t="s">
        <v>257</v>
      </c>
      <c r="B41" s="48" t="s">
        <v>130</v>
      </c>
      <c r="C41" s="8" t="s">
        <v>332</v>
      </c>
      <c r="D41" s="8" t="s">
        <v>334</v>
      </c>
      <c r="E41" s="63" t="s">
        <v>40</v>
      </c>
      <c r="F41" s="56" t="s">
        <v>274</v>
      </c>
      <c r="G41" s="64" t="n">
        <v>0.5</v>
      </c>
      <c r="H41" s="48" t="s">
        <v>271</v>
      </c>
      <c r="I41" s="65" t="n">
        <f aca="false">'0.개요'!$B$13</f>
        <v>18.31989468708</v>
      </c>
      <c r="J41" s="66" t="n">
        <f aca="false">G41*I41</f>
        <v>9.15994734354</v>
      </c>
      <c r="K41" s="8" t="s">
        <v>275</v>
      </c>
      <c r="L41" s="5"/>
    </row>
    <row r="42" customFormat="false" ht="15" hidden="false" customHeight="false" outlineLevel="0" collapsed="false">
      <c r="A42" s="56" t="s">
        <v>257</v>
      </c>
      <c r="B42" s="48" t="s">
        <v>133</v>
      </c>
      <c r="C42" s="8" t="s">
        <v>134</v>
      </c>
      <c r="D42" s="8" t="s">
        <v>335</v>
      </c>
      <c r="E42" s="63" t="s">
        <v>40</v>
      </c>
      <c r="F42" s="56" t="s">
        <v>274</v>
      </c>
      <c r="G42" s="64" t="n">
        <v>0.5</v>
      </c>
      <c r="H42" s="48" t="s">
        <v>271</v>
      </c>
      <c r="I42" s="65" t="n">
        <f aca="false">'0.개요'!$B$13</f>
        <v>18.31989468708</v>
      </c>
      <c r="J42" s="66" t="n">
        <f aca="false">G42*I42</f>
        <v>9.15994734354</v>
      </c>
      <c r="K42" s="8" t="s">
        <v>275</v>
      </c>
      <c r="L42" s="5"/>
    </row>
    <row r="43" customFormat="false" ht="26.85" hidden="false" customHeight="false" outlineLevel="0" collapsed="false">
      <c r="A43" s="57" t="s">
        <v>136</v>
      </c>
      <c r="B43" s="58"/>
      <c r="C43" s="69" t="s">
        <v>137</v>
      </c>
      <c r="D43" s="58"/>
      <c r="E43" s="58"/>
      <c r="F43" s="58"/>
      <c r="G43" s="60" t="n">
        <f aca="false">SUMIFS(G44:G54,F44:F54,"인건비")</f>
        <v>7.5</v>
      </c>
      <c r="H43" s="61" t="s">
        <v>271</v>
      </c>
      <c r="I43" s="58"/>
      <c r="J43" s="62" t="n">
        <f aca="false">SUM(J44:J54)</f>
        <v>145.3992101531</v>
      </c>
      <c r="K43" s="58"/>
      <c r="L43" s="58"/>
    </row>
    <row r="44" customFormat="false" ht="26.85" hidden="false" customHeight="false" outlineLevel="0" collapsed="false">
      <c r="A44" s="56" t="s">
        <v>336</v>
      </c>
      <c r="B44" s="48" t="s">
        <v>138</v>
      </c>
      <c r="C44" s="5" t="s">
        <v>139</v>
      </c>
      <c r="D44" s="8" t="s">
        <v>337</v>
      </c>
      <c r="E44" s="67" t="s">
        <v>36</v>
      </c>
      <c r="F44" s="56" t="s">
        <v>274</v>
      </c>
      <c r="G44" s="64" t="n">
        <v>0.5</v>
      </c>
      <c r="H44" s="48" t="s">
        <v>271</v>
      </c>
      <c r="I44" s="65" t="n">
        <f aca="false">'0.개요'!$B$13</f>
        <v>18.31989468708</v>
      </c>
      <c r="J44" s="66" t="n">
        <f aca="false">G44*I44</f>
        <v>9.15994734354</v>
      </c>
      <c r="K44" s="5" t="s">
        <v>71</v>
      </c>
      <c r="L44" s="5"/>
    </row>
    <row r="45" customFormat="false" ht="26.85" hidden="false" customHeight="false" outlineLevel="0" collapsed="false">
      <c r="A45" s="56" t="s">
        <v>336</v>
      </c>
      <c r="B45" s="48" t="s">
        <v>138</v>
      </c>
      <c r="C45" s="5" t="s">
        <v>139</v>
      </c>
      <c r="D45" s="5" t="s">
        <v>338</v>
      </c>
      <c r="E45" s="67" t="s">
        <v>36</v>
      </c>
      <c r="F45" s="56" t="s">
        <v>274</v>
      </c>
      <c r="G45" s="64" t="n">
        <v>0.5</v>
      </c>
      <c r="H45" s="48" t="s">
        <v>271</v>
      </c>
      <c r="I45" s="65" t="n">
        <f aca="false">'0.개요'!$B$13</f>
        <v>18.31989468708</v>
      </c>
      <c r="J45" s="66" t="n">
        <f aca="false">G45*I45</f>
        <v>9.15994734354</v>
      </c>
      <c r="K45" s="5" t="s">
        <v>71</v>
      </c>
      <c r="L45" s="5"/>
    </row>
    <row r="46" customFormat="false" ht="26.85" hidden="false" customHeight="false" outlineLevel="0" collapsed="false">
      <c r="A46" s="56" t="s">
        <v>336</v>
      </c>
      <c r="B46" s="48" t="s">
        <v>142</v>
      </c>
      <c r="C46" s="8" t="s">
        <v>143</v>
      </c>
      <c r="D46" s="8" t="s">
        <v>339</v>
      </c>
      <c r="E46" s="67" t="s">
        <v>36</v>
      </c>
      <c r="F46" s="56" t="s">
        <v>274</v>
      </c>
      <c r="G46" s="64" t="n">
        <v>1</v>
      </c>
      <c r="H46" s="48" t="s">
        <v>271</v>
      </c>
      <c r="I46" s="65" t="n">
        <f aca="false">'0.개요'!$B$13</f>
        <v>18.31989468708</v>
      </c>
      <c r="J46" s="66" t="n">
        <f aca="false">G46*I46</f>
        <v>18.31989468708</v>
      </c>
      <c r="K46" s="5" t="s">
        <v>71</v>
      </c>
      <c r="L46" s="5"/>
    </row>
    <row r="47" customFormat="false" ht="15" hidden="false" customHeight="false" outlineLevel="0" collapsed="false">
      <c r="A47" s="56" t="s">
        <v>336</v>
      </c>
      <c r="B47" s="48" t="s">
        <v>145</v>
      </c>
      <c r="C47" s="8" t="s">
        <v>146</v>
      </c>
      <c r="D47" s="8" t="s">
        <v>340</v>
      </c>
      <c r="E47" s="67" t="s">
        <v>36</v>
      </c>
      <c r="F47" s="56" t="s">
        <v>274</v>
      </c>
      <c r="G47" s="64" t="n">
        <v>0.5</v>
      </c>
      <c r="H47" s="48" t="s">
        <v>271</v>
      </c>
      <c r="I47" s="65" t="n">
        <f aca="false">'0.개요'!$B$13</f>
        <v>18.31989468708</v>
      </c>
      <c r="J47" s="66" t="n">
        <f aca="false">G47*I47</f>
        <v>9.15994734354</v>
      </c>
      <c r="K47" s="8" t="s">
        <v>147</v>
      </c>
      <c r="L47" s="5" t="s">
        <v>341</v>
      </c>
    </row>
    <row r="48" customFormat="false" ht="26.85" hidden="false" customHeight="false" outlineLevel="0" collapsed="false">
      <c r="A48" s="56" t="s">
        <v>336</v>
      </c>
      <c r="B48" s="48" t="s">
        <v>149</v>
      </c>
      <c r="C48" s="8" t="s">
        <v>150</v>
      </c>
      <c r="D48" s="5" t="s">
        <v>342</v>
      </c>
      <c r="E48" s="67" t="s">
        <v>36</v>
      </c>
      <c r="F48" s="56" t="s">
        <v>274</v>
      </c>
      <c r="G48" s="64" t="n">
        <v>0.5</v>
      </c>
      <c r="H48" s="48" t="s">
        <v>271</v>
      </c>
      <c r="I48" s="65" t="n">
        <f aca="false">'0.개요'!$B$13</f>
        <v>18.31989468708</v>
      </c>
      <c r="J48" s="66" t="n">
        <f aca="false">G48*I48</f>
        <v>9.15994734354</v>
      </c>
      <c r="K48" s="8" t="s">
        <v>147</v>
      </c>
      <c r="L48" s="5"/>
    </row>
    <row r="49" customFormat="false" ht="26.85" hidden="false" customHeight="false" outlineLevel="0" collapsed="false">
      <c r="A49" s="56" t="s">
        <v>336</v>
      </c>
      <c r="B49" s="48" t="s">
        <v>149</v>
      </c>
      <c r="C49" s="8" t="s">
        <v>150</v>
      </c>
      <c r="D49" s="8" t="s">
        <v>343</v>
      </c>
      <c r="E49" s="67" t="s">
        <v>36</v>
      </c>
      <c r="F49" s="56" t="s">
        <v>274</v>
      </c>
      <c r="G49" s="64" t="n">
        <v>1.5</v>
      </c>
      <c r="H49" s="48" t="s">
        <v>271</v>
      </c>
      <c r="I49" s="65" t="n">
        <f aca="false">'0.개요'!$B$13</f>
        <v>18.31989468708</v>
      </c>
      <c r="J49" s="66" t="n">
        <f aca="false">G49*I49</f>
        <v>27.47984203062</v>
      </c>
      <c r="K49" s="8" t="s">
        <v>147</v>
      </c>
      <c r="L49" s="5" t="s">
        <v>344</v>
      </c>
    </row>
    <row r="50" customFormat="false" ht="15" hidden="false" customHeight="false" outlineLevel="0" collapsed="false">
      <c r="A50" s="56" t="s">
        <v>336</v>
      </c>
      <c r="B50" s="48" t="s">
        <v>152</v>
      </c>
      <c r="C50" s="8" t="s">
        <v>153</v>
      </c>
      <c r="D50" s="8" t="s">
        <v>345</v>
      </c>
      <c r="E50" s="63" t="s">
        <v>40</v>
      </c>
      <c r="F50" s="56" t="s">
        <v>274</v>
      </c>
      <c r="G50" s="64" t="n">
        <v>1</v>
      </c>
      <c r="H50" s="48" t="s">
        <v>271</v>
      </c>
      <c r="I50" s="65" t="n">
        <f aca="false">'0.개요'!$B$13</f>
        <v>18.31989468708</v>
      </c>
      <c r="J50" s="66" t="n">
        <f aca="false">G50*I50</f>
        <v>18.31989468708</v>
      </c>
      <c r="K50" s="8" t="s">
        <v>275</v>
      </c>
      <c r="L50" s="5" t="s">
        <v>346</v>
      </c>
    </row>
    <row r="51" customFormat="false" ht="15" hidden="false" customHeight="false" outlineLevel="0" collapsed="false">
      <c r="A51" s="56" t="s">
        <v>336</v>
      </c>
      <c r="B51" s="48" t="s">
        <v>152</v>
      </c>
      <c r="C51" s="8" t="s">
        <v>153</v>
      </c>
      <c r="D51" s="8" t="s">
        <v>347</v>
      </c>
      <c r="E51" s="63" t="s">
        <v>40</v>
      </c>
      <c r="F51" s="56" t="s">
        <v>348</v>
      </c>
      <c r="G51" s="64" t="n">
        <v>1</v>
      </c>
      <c r="H51" s="56" t="s">
        <v>284</v>
      </c>
      <c r="I51" s="64" t="n">
        <v>8</v>
      </c>
      <c r="J51" s="66" t="n">
        <f aca="false">G51*I51</f>
        <v>8</v>
      </c>
      <c r="K51" s="8" t="s">
        <v>275</v>
      </c>
      <c r="L51" s="8" t="s">
        <v>349</v>
      </c>
    </row>
    <row r="52" customFormat="false" ht="15" hidden="false" customHeight="false" outlineLevel="0" collapsed="false">
      <c r="A52" s="56" t="s">
        <v>336</v>
      </c>
      <c r="B52" s="48" t="s">
        <v>154</v>
      </c>
      <c r="C52" s="8" t="s">
        <v>155</v>
      </c>
      <c r="D52" s="8" t="s">
        <v>350</v>
      </c>
      <c r="E52" s="63" t="s">
        <v>40</v>
      </c>
      <c r="F52" s="56" t="s">
        <v>274</v>
      </c>
      <c r="G52" s="64" t="n">
        <v>1</v>
      </c>
      <c r="H52" s="48" t="s">
        <v>271</v>
      </c>
      <c r="I52" s="65" t="n">
        <f aca="false">'0.개요'!$B$13</f>
        <v>18.31989468708</v>
      </c>
      <c r="J52" s="66" t="n">
        <f aca="false">G52*I52</f>
        <v>18.31989468708</v>
      </c>
      <c r="K52" s="8" t="s">
        <v>275</v>
      </c>
      <c r="L52" s="8" t="s">
        <v>351</v>
      </c>
    </row>
    <row r="53" customFormat="false" ht="15" hidden="false" customHeight="false" outlineLevel="0" collapsed="false">
      <c r="A53" s="56" t="s">
        <v>336</v>
      </c>
      <c r="B53" s="48" t="s">
        <v>154</v>
      </c>
      <c r="C53" s="8" t="s">
        <v>155</v>
      </c>
      <c r="D53" s="5" t="s">
        <v>352</v>
      </c>
      <c r="E53" s="63" t="s">
        <v>40</v>
      </c>
      <c r="F53" s="56" t="s">
        <v>274</v>
      </c>
      <c r="G53" s="64" t="n">
        <v>0.5</v>
      </c>
      <c r="H53" s="48" t="s">
        <v>271</v>
      </c>
      <c r="I53" s="65" t="n">
        <f aca="false">'0.개요'!$B$13</f>
        <v>18.31989468708</v>
      </c>
      <c r="J53" s="66" t="n">
        <f aca="false">G53*I53</f>
        <v>9.15994734354</v>
      </c>
      <c r="K53" s="8" t="s">
        <v>275</v>
      </c>
      <c r="L53" s="5"/>
    </row>
    <row r="54" customFormat="false" ht="26.85" hidden="false" customHeight="false" outlineLevel="0" collapsed="false">
      <c r="A54" s="56" t="s">
        <v>336</v>
      </c>
      <c r="B54" s="48" t="s">
        <v>157</v>
      </c>
      <c r="C54" s="8" t="s">
        <v>158</v>
      </c>
      <c r="D54" s="8" t="s">
        <v>353</v>
      </c>
      <c r="E54" s="68" t="s">
        <v>186</v>
      </c>
      <c r="F54" s="56" t="s">
        <v>274</v>
      </c>
      <c r="G54" s="64" t="n">
        <v>0.5</v>
      </c>
      <c r="H54" s="48" t="s">
        <v>271</v>
      </c>
      <c r="I54" s="65" t="n">
        <f aca="false">'0.개요'!$B$13</f>
        <v>18.31989468708</v>
      </c>
      <c r="J54" s="66" t="n">
        <f aca="false">G54*I54</f>
        <v>9.15994734354</v>
      </c>
      <c r="K54" s="8" t="s">
        <v>147</v>
      </c>
      <c r="L54" s="5"/>
    </row>
    <row r="55" customFormat="false" ht="15" hidden="false" customHeight="false" outlineLevel="0" collapsed="false">
      <c r="A55" s="57" t="s">
        <v>160</v>
      </c>
      <c r="B55" s="58"/>
      <c r="C55" s="59" t="s">
        <v>161</v>
      </c>
      <c r="D55" s="58"/>
      <c r="E55" s="58"/>
      <c r="F55" s="58"/>
      <c r="G55" s="60" t="n">
        <f aca="false">SUMIFS(G56:G57,F56:F57,"인건비")</f>
        <v>3</v>
      </c>
      <c r="H55" s="61" t="s">
        <v>271</v>
      </c>
      <c r="I55" s="58"/>
      <c r="J55" s="62" t="n">
        <f aca="false">SUM(J56:J57)</f>
        <v>54.95968406124</v>
      </c>
      <c r="K55" s="58"/>
      <c r="L55" s="58"/>
    </row>
    <row r="56" customFormat="false" ht="15" hidden="false" customHeight="false" outlineLevel="0" collapsed="false">
      <c r="A56" s="56" t="s">
        <v>160</v>
      </c>
      <c r="B56" s="48" t="s">
        <v>162</v>
      </c>
      <c r="C56" s="8" t="s">
        <v>163</v>
      </c>
      <c r="D56" s="8" t="s">
        <v>354</v>
      </c>
      <c r="E56" s="70" t="s">
        <v>160</v>
      </c>
      <c r="F56" s="56" t="s">
        <v>274</v>
      </c>
      <c r="G56" s="64" t="n">
        <v>2</v>
      </c>
      <c r="H56" s="48" t="s">
        <v>271</v>
      </c>
      <c r="I56" s="65" t="n">
        <f aca="false">'0.개요'!$B$13</f>
        <v>18.31989468708</v>
      </c>
      <c r="J56" s="66" t="n">
        <f aca="false">G56*I56</f>
        <v>36.63978937416</v>
      </c>
      <c r="K56" s="8" t="s">
        <v>355</v>
      </c>
      <c r="L56" s="8" t="s">
        <v>356</v>
      </c>
    </row>
    <row r="57" customFormat="false" ht="15" hidden="false" customHeight="false" outlineLevel="0" collapsed="false">
      <c r="A57" s="56" t="s">
        <v>160</v>
      </c>
      <c r="B57" s="48" t="s">
        <v>162</v>
      </c>
      <c r="C57" s="8" t="s">
        <v>163</v>
      </c>
      <c r="D57" s="8" t="s">
        <v>357</v>
      </c>
      <c r="E57" s="70" t="s">
        <v>160</v>
      </c>
      <c r="F57" s="56" t="s">
        <v>274</v>
      </c>
      <c r="G57" s="64" t="n">
        <v>1</v>
      </c>
      <c r="H57" s="48" t="s">
        <v>271</v>
      </c>
      <c r="I57" s="65" t="n">
        <f aca="false">'0.개요'!$B$13</f>
        <v>18.31989468708</v>
      </c>
      <c r="J57" s="66" t="n">
        <f aca="false">G57*I57</f>
        <v>18.31989468708</v>
      </c>
      <c r="K57" s="8" t="s">
        <v>355</v>
      </c>
      <c r="L57" s="5"/>
    </row>
    <row r="59" customFormat="false" ht="15" hidden="false" customHeight="false" outlineLevel="0" collapsed="false">
      <c r="A59" s="17"/>
      <c r="B59" s="17"/>
      <c r="C59" s="17"/>
      <c r="D59" s="16" t="s">
        <v>358</v>
      </c>
      <c r="E59" s="17"/>
      <c r="F59" s="17"/>
      <c r="G59" s="17"/>
      <c r="H59" s="17"/>
      <c r="I59" s="17"/>
      <c r="J59" s="71" t="n">
        <f aca="false">SUMIFS(J5:J57,F5:F57,"인건비")</f>
        <v>613.71647201718</v>
      </c>
      <c r="K59" s="17"/>
      <c r="L59" s="17"/>
    </row>
    <row r="60" customFormat="false" ht="15" hidden="false" customHeight="false" outlineLevel="0" collapsed="false">
      <c r="A60" s="17"/>
      <c r="B60" s="17"/>
      <c r="C60" s="17"/>
      <c r="D60" s="16" t="s">
        <v>359</v>
      </c>
      <c r="E60" s="17"/>
      <c r="F60" s="17"/>
      <c r="G60" s="17"/>
      <c r="H60" s="17"/>
      <c r="I60" s="17"/>
      <c r="J60" s="72" t="n">
        <f aca="false">SUMIFS(G5:G57,F5:F57,"인건비")</f>
        <v>33.5</v>
      </c>
      <c r="K60" s="17"/>
      <c r="L60" s="17"/>
    </row>
    <row r="61" customFormat="false" ht="15" hidden="false" customHeight="false" outlineLevel="0" collapsed="false">
      <c r="A61" s="17"/>
      <c r="B61" s="17"/>
      <c r="C61" s="17"/>
      <c r="D61" s="19" t="s">
        <v>360</v>
      </c>
      <c r="E61" s="17"/>
      <c r="F61" s="17"/>
      <c r="G61" s="17"/>
      <c r="H61" s="17"/>
      <c r="I61" s="17"/>
      <c r="J61" s="71" t="n">
        <f aca="false">SUMIFS(J5:J57,F5:F57,"SW구매")</f>
        <v>64.5</v>
      </c>
      <c r="K61" s="17"/>
      <c r="L61" s="17"/>
    </row>
    <row r="62" customFormat="false" ht="15" hidden="false" customHeight="false" outlineLevel="0" collapsed="false">
      <c r="A62" s="17"/>
      <c r="B62" s="17"/>
      <c r="C62" s="17"/>
      <c r="D62" s="16" t="s">
        <v>361</v>
      </c>
      <c r="E62" s="17"/>
      <c r="F62" s="17"/>
      <c r="G62" s="17"/>
      <c r="H62" s="17"/>
      <c r="I62" s="17"/>
      <c r="J62" s="71" t="n">
        <f aca="false">SUMIFS(J5:J57,F5:F57,"직접경비")</f>
        <v>8</v>
      </c>
      <c r="K62" s="17"/>
      <c r="L62" s="17"/>
    </row>
    <row r="63" customFormat="false" ht="15" hidden="false" customHeight="false" outlineLevel="0" collapsed="false">
      <c r="A63" s="17"/>
      <c r="B63" s="17"/>
      <c r="C63" s="17"/>
      <c r="D63" s="16" t="s">
        <v>30</v>
      </c>
      <c r="E63" s="17"/>
      <c r="F63" s="17"/>
      <c r="G63" s="17"/>
      <c r="H63" s="17"/>
      <c r="I63" s="17"/>
      <c r="J63" s="71" t="n">
        <f aca="false">J59+J61+J62</f>
        <v>686.21647201718</v>
      </c>
      <c r="K63" s="17"/>
      <c r="L63" s="17"/>
    </row>
    <row r="64" customFormat="false" ht="15" hidden="false" customHeight="false" outlineLevel="0" collapsed="false">
      <c r="A64" s="17"/>
      <c r="B64" s="17"/>
      <c r="C64" s="17"/>
      <c r="D64" s="16" t="s">
        <v>31</v>
      </c>
      <c r="E64" s="17"/>
      <c r="F64" s="17"/>
      <c r="G64" s="17"/>
      <c r="H64" s="17"/>
      <c r="I64" s="17"/>
      <c r="J64" s="71" t="n">
        <f aca="false">J63*'0.개요'!$B$10</f>
        <v>68.621647201718</v>
      </c>
      <c r="K64" s="17"/>
      <c r="L64" s="17"/>
    </row>
    <row r="65" customFormat="false" ht="15" hidden="false" customHeight="false" outlineLevel="0" collapsed="false">
      <c r="A65" s="17"/>
      <c r="B65" s="17"/>
      <c r="C65" s="17"/>
      <c r="D65" s="16" t="s">
        <v>362</v>
      </c>
      <c r="E65" s="17"/>
      <c r="F65" s="17"/>
      <c r="G65" s="17"/>
      <c r="H65" s="17"/>
      <c r="I65" s="17"/>
      <c r="J65" s="71" t="n">
        <f aca="false">J63+J64</f>
        <v>754.838119218898</v>
      </c>
      <c r="K65" s="17"/>
      <c r="L65" s="17"/>
    </row>
    <row r="66" customFormat="false" ht="15" hidden="false" customHeight="false" outlineLevel="0" collapsed="false">
      <c r="A66" s="17"/>
      <c r="B66" s="17"/>
      <c r="C66" s="17"/>
      <c r="D66" s="19" t="s">
        <v>33</v>
      </c>
      <c r="E66" s="17"/>
      <c r="F66" s="17"/>
      <c r="G66" s="17"/>
      <c r="H66" s="17"/>
      <c r="I66" s="17"/>
      <c r="J66" s="55" t="n">
        <f aca="false">'0.개요'!$B$11</f>
        <v>758</v>
      </c>
      <c r="K66" s="17"/>
      <c r="L66" s="38" t="s">
        <v>363</v>
      </c>
    </row>
    <row r="67" customFormat="false" ht="15" hidden="false" customHeight="false" outlineLevel="0" collapsed="false">
      <c r="A67" s="17"/>
      <c r="B67" s="17"/>
      <c r="C67" s="17"/>
      <c r="D67" s="16" t="s">
        <v>364</v>
      </c>
      <c r="E67" s="17"/>
      <c r="F67" s="17"/>
      <c r="G67" s="17"/>
      <c r="H67" s="17"/>
      <c r="I67" s="17"/>
      <c r="J67" s="71" t="n">
        <f aca="false">J66-J65</f>
        <v>3.16188078110201</v>
      </c>
      <c r="K67" s="17"/>
      <c r="L67" s="17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64"/>
  </cols>
  <sheetData>
    <row r="1" customFormat="false" ht="19.4" hidden="false" customHeight="false" outlineLevel="0" collapsed="false">
      <c r="A1" s="73" t="s">
        <v>366</v>
      </c>
    </row>
    <row r="2" customFormat="false" ht="15" hidden="false" customHeight="false" outlineLevel="0" collapsed="false">
      <c r="A2" s="2" t="s">
        <v>367</v>
      </c>
    </row>
    <row r="4" customFormat="false" ht="15" hidden="false" customHeight="false" outlineLevel="0" collapsed="false">
      <c r="A4" s="26" t="s">
        <v>192</v>
      </c>
      <c r="B4" s="26" t="s">
        <v>368</v>
      </c>
      <c r="C4" s="4" t="s">
        <v>369</v>
      </c>
      <c r="D4" s="4" t="s">
        <v>370</v>
      </c>
      <c r="E4" s="4" t="s">
        <v>371</v>
      </c>
    </row>
    <row r="5" customFormat="false" ht="15" hidden="false" customHeight="false" outlineLevel="0" collapsed="false">
      <c r="A5" s="8" t="s">
        <v>95</v>
      </c>
      <c r="B5" s="52" t="n">
        <v>60</v>
      </c>
      <c r="C5" s="15" t="n">
        <f aca="false">SUMIFS('3.견적서'!$J$5:$J$57,'3.견적서'!$K$5:$K$57,A5)*(1+'0.개요'!$B$10)</f>
        <v>70.531594545258</v>
      </c>
      <c r="D5" s="66" t="n">
        <f aca="false">C5-B5</f>
        <v>10.531594545258</v>
      </c>
      <c r="E5" s="8" t="s">
        <v>372</v>
      </c>
    </row>
    <row r="6" customFormat="false" ht="15" hidden="false" customHeight="false" outlineLevel="0" collapsed="false">
      <c r="A6" s="5" t="s">
        <v>71</v>
      </c>
      <c r="B6" s="52" t="n">
        <v>180</v>
      </c>
      <c r="C6" s="15" t="n">
        <f aca="false">SUMIFS('3.견적서'!$J$5:$J$57,'3.견적서'!$K$5:$K$57,A6)*(1+'0.개요'!$B$10)</f>
        <v>141.063189090516</v>
      </c>
      <c r="D6" s="66" t="n">
        <f aca="false">C6-B6</f>
        <v>-38.936810909484</v>
      </c>
      <c r="E6" s="8" t="s">
        <v>373</v>
      </c>
    </row>
    <row r="7" customFormat="false" ht="15" hidden="false" customHeight="false" outlineLevel="0" collapsed="false">
      <c r="A7" s="8" t="s">
        <v>147</v>
      </c>
      <c r="B7" s="52" t="n">
        <v>100</v>
      </c>
      <c r="C7" s="15" t="n">
        <f aca="false">SUMIFS('3.견적서'!$J$5:$J$57,'3.견적서'!$K$5:$K$57,A7)*(1+'0.개요'!$B$10)</f>
        <v>60.455652467364</v>
      </c>
      <c r="D7" s="66" t="n">
        <f aca="false">C7-B7</f>
        <v>-39.544347532636</v>
      </c>
      <c r="E7" s="8" t="s">
        <v>374</v>
      </c>
    </row>
    <row r="8" customFormat="false" ht="15" hidden="false" customHeight="false" outlineLevel="0" collapsed="false">
      <c r="A8" s="8" t="s">
        <v>128</v>
      </c>
      <c r="B8" s="52" t="n">
        <v>200</v>
      </c>
      <c r="C8" s="15" t="n">
        <f aca="false">SUMIFS('3.견적서'!$J$5:$J$57,'3.견적서'!$K$5:$K$57,A8)*(1+'0.개요'!$B$10)</f>
        <v>20.151884155788</v>
      </c>
      <c r="D8" s="66" t="n">
        <f aca="false">C8-B8</f>
        <v>-179.848115844212</v>
      </c>
      <c r="E8" s="5" t="s">
        <v>375</v>
      </c>
    </row>
    <row r="9" customFormat="false" ht="15" hidden="false" customHeight="false" outlineLevel="0" collapsed="false">
      <c r="A9" s="8" t="s">
        <v>179</v>
      </c>
      <c r="B9" s="52" t="n">
        <v>60</v>
      </c>
      <c r="C9" s="15" t="n">
        <f aca="false">SUMIFS('3.견적서'!$J$5:$J$57,'3.견적서'!$K$5:$K$57,A9)*(1+'0.개요'!$B$10)</f>
        <v>0</v>
      </c>
      <c r="D9" s="66" t="n">
        <f aca="false">C9-B9</f>
        <v>-60</v>
      </c>
      <c r="E9" s="5" t="s">
        <v>376</v>
      </c>
    </row>
    <row r="10" customFormat="false" ht="15" hidden="false" customHeight="false" outlineLevel="0" collapsed="false">
      <c r="A10" s="8" t="s">
        <v>78</v>
      </c>
      <c r="B10" s="52" t="n">
        <v>120</v>
      </c>
      <c r="C10" s="15" t="n">
        <f aca="false">SUMIFS('3.견적서'!$J$5:$J$57,'3.견적서'!$K$5:$K$57,A10)*(1+'0.개요'!$B$10)</f>
        <v>50.37971038947</v>
      </c>
      <c r="D10" s="66" t="n">
        <f aca="false">C10-B10</f>
        <v>-69.62028961053</v>
      </c>
      <c r="E10" s="8" t="s">
        <v>373</v>
      </c>
    </row>
    <row r="11" customFormat="false" ht="15" hidden="false" customHeight="false" outlineLevel="0" collapsed="false">
      <c r="A11" s="5" t="s">
        <v>210</v>
      </c>
      <c r="B11" s="52" t="n">
        <v>16</v>
      </c>
      <c r="C11" s="15" t="n">
        <f aca="false">SUMIFS('3.견적서'!$J$5:$J$57,'3.견적서'!$K$5:$K$57,A11)*(1+'0.개요'!$B$10)</f>
        <v>15.95</v>
      </c>
      <c r="D11" s="66" t="n">
        <f aca="false">C11-B11</f>
        <v>-0.0499999999999989</v>
      </c>
      <c r="E11" s="8" t="s">
        <v>373</v>
      </c>
    </row>
    <row r="12" customFormat="false" ht="15" hidden="false" customHeight="false" outlineLevel="0" collapsed="false">
      <c r="A12" s="5" t="s">
        <v>100</v>
      </c>
      <c r="B12" s="52" t="n">
        <v>22</v>
      </c>
      <c r="C12" s="15" t="n">
        <f aca="false">SUMIFS('3.견적서'!$J$5:$J$57,'3.견적서'!$K$5:$K$57,A12)*(1+'0.개요'!$B$10)</f>
        <v>32.075942077894</v>
      </c>
      <c r="D12" s="66" t="n">
        <f aca="false">C12-B12</f>
        <v>10.075942077894</v>
      </c>
      <c r="E12" s="8" t="s">
        <v>377</v>
      </c>
    </row>
    <row r="13" customFormat="false" ht="15" hidden="false" customHeight="false" outlineLevel="0" collapsed="false">
      <c r="A13" s="11" t="s">
        <v>378</v>
      </c>
      <c r="B13" s="52" t="n">
        <v>0</v>
      </c>
      <c r="C13" s="15" t="n">
        <f aca="false">SUMIFS('3.견적서'!$J$5:$J$57,'3.견적서'!$K$5:$K$57,A13)*(1+'0.개요'!$B$10)</f>
        <v>303.774494025244</v>
      </c>
      <c r="D13" s="66" t="n">
        <f aca="false">C13-B13</f>
        <v>303.774494025244</v>
      </c>
      <c r="E13" s="8" t="s">
        <v>379</v>
      </c>
    </row>
    <row r="14" customFormat="false" ht="15" hidden="false" customHeight="false" outlineLevel="0" collapsed="false">
      <c r="A14" s="11" t="s">
        <v>380</v>
      </c>
      <c r="B14" s="52" t="n">
        <v>0</v>
      </c>
      <c r="C14" s="15" t="n">
        <f aca="false">SUMIFS('3.견적서'!$J$5:$J$57,'3.견적서'!$K$5:$K$57,A14)*(1+'0.개요'!$B$10)</f>
        <v>60.455652467364</v>
      </c>
      <c r="D14" s="66" t="n">
        <f aca="false">C14-B14</f>
        <v>60.455652467364</v>
      </c>
      <c r="E14" s="8" t="s">
        <v>381</v>
      </c>
    </row>
    <row r="15" customFormat="false" ht="15" hidden="false" customHeight="false" outlineLevel="0" collapsed="false">
      <c r="A15" s="16" t="s">
        <v>216</v>
      </c>
      <c r="B15" s="71" t="n">
        <f aca="false">SUM(B5:B14)</f>
        <v>758</v>
      </c>
      <c r="C15" s="71" t="n">
        <f aca="false">SUM(C5:C14)</f>
        <v>754.838119218898</v>
      </c>
      <c r="D15" s="71" t="n">
        <f aca="false">SUM(D5:D14)</f>
        <v>-3.16188078110199</v>
      </c>
      <c r="E15" s="17" t="str">
        <f aca="false">IF(ABS(C15-'3.견적서'!J65)&lt;0.01,"검증OK: 견적서 총액과 일치","검증 오류: 견적서 총액과 불일치")</f>
        <v>검증OK: 견적서 총액과 일치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2026-10-08T09:13:15Z</dcterms:created>
  <dc:creator>openpyxl</dc:creator>
  <dc:description/>
  <dc:language>en-US</dc:language>
  <cp:lastModifiedBy/>
  <dcterms:modified xsi:type="dcterms:W3CDTF">2026-10-08T09:13:15Z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